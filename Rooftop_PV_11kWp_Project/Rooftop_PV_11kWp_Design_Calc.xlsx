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String Sizing" sheetId="2" state="visible" r:id="rId4"/>
    <sheet name="Energy Yield" sheetId="3" state="visible" r:id="rId5"/>
    <sheet name="Cable Sizing" sheetId="4" state="visible" r:id="rId6"/>
    <sheet name="BOQ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<sst xmlns="http://schemas.openxmlformats.org/spreadsheetml/2006/main" count="199" uniqueCount="151">
  <si>
    <t xml:space="preserve">11 kWp Grid-Tied Rooftop PV, Mirpur, Dhaka - Design Inputs</t>
  </si>
  <si>
    <t xml:space="preserve">Legend: blue text on yellow = input you can change. Black = formula. All other sheets update automatically.</t>
  </si>
  <si>
    <t xml:space="preserve">Parameter</t>
  </si>
  <si>
    <t xml:space="preserve">Value</t>
  </si>
  <si>
    <t xml:space="preserve">Unit</t>
  </si>
  <si>
    <t xml:space="preserve">Note / source</t>
  </si>
  <si>
    <t xml:space="preserve">Module rated power (Pmax)</t>
  </si>
  <si>
    <t xml:space="preserve">Wp</t>
  </si>
  <si>
    <t xml:space="preserve">Typical 550 Wp mono PERC, 144 half-cell; replace with chosen datasheet</t>
  </si>
  <si>
    <t xml:space="preserve">Module Voc (STC)</t>
  </si>
  <si>
    <t xml:space="preserve">V</t>
  </si>
  <si>
    <t xml:space="preserve">Datasheet</t>
  </si>
  <si>
    <t xml:space="preserve">Module Vmp (STC)</t>
  </si>
  <si>
    <t xml:space="preserve">Module Isc (STC)</t>
  </si>
  <si>
    <t xml:space="preserve">A</t>
  </si>
  <si>
    <t xml:space="preserve">Module Imp (STC)</t>
  </si>
  <si>
    <t xml:space="preserve">Temp. coefficient of Voc</t>
  </si>
  <si>
    <t xml:space="preserve">%/degC</t>
  </si>
  <si>
    <t xml:space="preserve">Temp. coefficient of Pmax</t>
  </si>
  <si>
    <t xml:space="preserve">Module length</t>
  </si>
  <si>
    <t xml:space="preserve">m</t>
  </si>
  <si>
    <t xml:space="preserve">Module width</t>
  </si>
  <si>
    <t xml:space="preserve">Number of modules</t>
  </si>
  <si>
    <t xml:space="preserve">nos</t>
  </si>
  <si>
    <t xml:space="preserve">Fits 20 m x 14 m roof with 1 m setback, see drawing PV-01</t>
  </si>
  <si>
    <t xml:space="preserve">Modules per string</t>
  </si>
  <si>
    <t xml:space="preserve">Design choice</t>
  </si>
  <si>
    <t xml:space="preserve">Number of strings</t>
  </si>
  <si>
    <t xml:space="preserve">One string per MPPT</t>
  </si>
  <si>
    <t xml:space="preserve">Inverter AC rating</t>
  </si>
  <si>
    <t xml:space="preserve">kW</t>
  </si>
  <si>
    <t xml:space="preserve">9 kW three-phase, 2 MPPT (as simulated in PVsyst)</t>
  </si>
  <si>
    <t xml:space="preserve">Inverter max DC input voltage</t>
  </si>
  <si>
    <t xml:space="preserve">Inverter datasheet</t>
  </si>
  <si>
    <t xml:space="preserve">Inverter MPPT min voltage</t>
  </si>
  <si>
    <t xml:space="preserve">Inverter MPPT max voltage</t>
  </si>
  <si>
    <t xml:space="preserve">Inverter max input current per MPPT</t>
  </si>
  <si>
    <t xml:space="preserve">Minimum ambient temperature, Dhaka</t>
  </si>
  <si>
    <t xml:space="preserve">degC</t>
  </si>
  <si>
    <t xml:space="preserve">Approximate record winter low</t>
  </si>
  <si>
    <t xml:space="preserve">Maximum cell temperature</t>
  </si>
  <si>
    <t xml:space="preserve">Ambient ~38 degC + ~32 degC rise on rooftop</t>
  </si>
  <si>
    <t xml:space="preserve">Tilt angle</t>
  </si>
  <si>
    <t xml:space="preserve">deg</t>
  </si>
  <si>
    <t xml:space="preserve">Close to latitude 23.8 N</t>
  </si>
  <si>
    <t xml:space="preserve">Performance ratio (PR)</t>
  </si>
  <si>
    <t xml:space="preserve">-</t>
  </si>
  <si>
    <t xml:space="preserve">Assumed; verify with PVsyst simulation</t>
  </si>
  <si>
    <t xml:space="preserve">Grid tariff (avoided cost)</t>
  </si>
  <si>
    <t xml:space="preserve">BDT/kWh</t>
  </si>
  <si>
    <t xml:space="preserve">Placeholder: use current DPDC/DESCO commercial tariff</t>
  </si>
  <si>
    <t xml:space="preserve">String sizing and inverter compatibility check</t>
  </si>
  <si>
    <t xml:space="preserve">Check</t>
  </si>
  <si>
    <t xml:space="preserve">Limit</t>
  </si>
  <si>
    <t xml:space="preserve">Result</t>
  </si>
  <si>
    <t xml:space="preserve">DC array capacity</t>
  </si>
  <si>
    <t xml:space="preserve">kWp</t>
  </si>
  <si>
    <t xml:space="preserve">DC/AC ratio</t>
  </si>
  <si>
    <t xml:space="preserve">1.0 - 1.3</t>
  </si>
  <si>
    <t xml:space="preserve">Voc at min temperature (per module)</t>
  </si>
  <si>
    <t xml:space="preserve">String Voc at min temperature</t>
  </si>
  <si>
    <t xml:space="preserve">Vmp at max cell temperature (per module)</t>
  </si>
  <si>
    <t xml:space="preserve">String Vmp at max cell temperature</t>
  </si>
  <si>
    <t xml:space="preserve">String Vmp at STC</t>
  </si>
  <si>
    <t xml:space="preserve">String design current (1.25 x Isc)</t>
  </si>
  <si>
    <t xml:space="preserve">Total modules check</t>
  </si>
  <si>
    <t xml:space="preserve">Note: string current check uses 1.25 x Isc as the conductor/fuse design current; confirm the inverter's max short-circuit input current on its datasheet.</t>
  </si>
  <si>
    <t xml:space="preserve">Monthly energy yield estimate (hand calculation, to be compared with PVsyst)</t>
  </si>
  <si>
    <t xml:space="preserve">E = Capacity (kWp) x POA irradiation (kWh/m2) x PR.  GHI: approximate long-term Dhaka averages (NASA POWER-type data); tilt factor: approximate GHI-to-23 deg plane gain. Replace with PVGIS/Meteonorm values.</t>
  </si>
  <si>
    <t xml:space="preserve">Month</t>
  </si>
  <si>
    <t xml:space="preserve">Days</t>
  </si>
  <si>
    <t xml:space="preserve">GHI (kWh/m2/day)</t>
  </si>
  <si>
    <t xml:space="preserve">Tilt factor</t>
  </si>
  <si>
    <t xml:space="preserve">POA (kWh/m2/month)</t>
  </si>
  <si>
    <t xml:space="preserve">Energy (kWh)</t>
  </si>
  <si>
    <t xml:space="preserve">Specific yield (kWh/kWp)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</si>
  <si>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</si>
  <si>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</si>
  <si>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</si>
  <si>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</si>
  <si>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</si>
  <si>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</si>
  <si>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</si>
  <si>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</si>
  <si>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</si>
  <si>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</si>
  <si>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</si>
  <si>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</si>
  <si>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</t>
  </si>
  <si>
    <t xml:space="preserve">Annual savings (BDT)</t>
  </si>
  <si>
    <t xml:space="preserve">CO2 avoided (t/yr)</t>
  </si>
  <si>
    <t xml:space="preserve">Grid emission factor 0.67 kgCO2/kWh assumed for Bangladesh grid; verify.</t>
  </si>
  <si>
    <t xml:space="preserve">Cable voltage-drop check (copper, resistivity 0.0175 ohm.mm2/m at 20 degC; ~0.0225 at 70 degC used)</t>
  </si>
  <si>
    <t xml:space="preserve">Circuit</t>
  </si>
  <si>
    <t xml:space="preserve">Type</t>
  </si>
  <si>
    <t xml:space="preserve">Length one-way (m)</t>
  </si>
  <si>
    <t xml:space="preserve">Current (A)</t>
  </si>
  <si>
    <t xml:space="preserve">Size (mm2)</t>
  </si>
  <si>
    <t xml:space="preserve">Voltage (V)</t>
  </si>
  <si>
    <t xml:space="preserve">Voltage drop (V)</t>
  </si>
  <si>
    <t xml:space="preserve">Drop (%)</t>
  </si>
  <si>
    <t xml:space="preserve">Limit (%)</t>
  </si>
  <si>
    <t xml:space="preserve">String A to combiner</t>
  </si>
  <si>
    <t xml:space="preserve">DC</t>
  </si>
  <si>
    <t xml:space="preserve">String B to combiner</t>
  </si>
  <si>
    <t xml:space="preserve">Inverter to AC DB</t>
  </si>
  <si>
    <t xml:space="preserve">AC 3-ph</t>
  </si>
  <si>
    <t xml:space="preserve">AC DB to MDB via net meter</t>
  </si>
  <si>
    <t xml:space="preserve">Bill of Quantities - 11 kWp rooftop PV</t>
  </si>
  <si>
    <t xml:space="preserve">Unit rates left blank on purpose: fill them from current vendor quotes (yellow cells); totals, cost per Wp and payback then calculate.</t>
  </si>
  <si>
    <t xml:space="preserve">SL</t>
  </si>
  <si>
    <t xml:space="preserve">Item</t>
  </si>
  <si>
    <t xml:space="preserve">Specification</t>
  </si>
  <si>
    <t xml:space="preserve">Qty</t>
  </si>
  <si>
    <t xml:space="preserve">Unit rate (BDT)</t>
  </si>
  <si>
    <t xml:space="preserve">Amount (BDT)</t>
  </si>
  <si>
    <t xml:space="preserve">PV module</t>
  </si>
  <si>
    <t xml:space="preserve">550 Wp mono PERC half-cell, IEC 61215/61730</t>
  </si>
  <si>
    <t xml:space="preserve">Grid-tied inverter</t>
  </si>
  <si>
    <t xml:space="preserve">9 kW, 3-phase, 2 MPPT, IEC 62109/61727</t>
  </si>
  <si>
    <t xml:space="preserve">Module mounting structure</t>
  </si>
  <si>
    <t xml:space="preserve">Hot-dip galvanized / Al, 23 deg fixed tilt, wind-rated</t>
  </si>
  <si>
    <t xml:space="preserve">DC combiner / isolator box</t>
  </si>
  <si>
    <t xml:space="preserve">2-string, gPV fuses 15 A, 1000 V DC isolator, Type II SPD</t>
  </si>
  <si>
    <t xml:space="preserve">set</t>
  </si>
  <si>
    <t xml:space="preserve">DC solar cable</t>
  </si>
  <si>
    <t xml:space="preserve">4 mm2 PV1-F, red + black</t>
  </si>
  <si>
    <t xml:space="preserve">DC cable</t>
  </si>
  <si>
    <t xml:space="preserve">6 mm2 PV1-F, combiner to inverter</t>
  </si>
  <si>
    <t xml:space="preserve">MC4 connectors</t>
  </si>
  <si>
    <t xml:space="preserve">1000 V, IP67, pairs</t>
  </si>
  <si>
    <t xml:space="preserve">pair</t>
  </si>
  <si>
    <t xml:space="preserve">AC cable</t>
  </si>
  <si>
    <t xml:space="preserve">4C x 6 mm2 Cu XLPE, inverter to AC DB</t>
  </si>
  <si>
    <t xml:space="preserve">4C x 10 mm2 Cu XLPE, AC DB to MDB</t>
  </si>
  <si>
    <t xml:space="preserve">AC distribution board</t>
  </si>
  <si>
    <t xml:space="preserve">MCCB 20 A 4P, RCD, Type II AC SPD, IP65</t>
  </si>
  <si>
    <t xml:space="preserve">Earthing system</t>
  </si>
  <si>
    <t xml:space="preserve">Earth pit with 16 mm2 Cu conductor, chemical earthing</t>
  </si>
  <si>
    <t xml:space="preserve">Lightning protection</t>
  </si>
  <si>
    <t xml:space="preserve">ESE/conventional air terminal with down conductor</t>
  </si>
  <si>
    <t xml:space="preserve">Bi-directional net meter</t>
  </si>
  <si>
    <t xml:space="preserve">As per DPDC/DESCO net metering requirements</t>
  </si>
  <si>
    <t xml:space="preserve">Conduits, trays, accessories</t>
  </si>
  <si>
    <t xml:space="preserve">UV-resistant PVC conduit, GI tray, glands, lugs</t>
  </si>
  <si>
    <t xml:space="preserve">lot</t>
  </si>
  <si>
    <t xml:space="preserve">Installation, testing &amp; commissioning</t>
  </si>
  <si>
    <t xml:space="preserve">Labour, testing per IEC 62446</t>
  </si>
  <si>
    <t xml:space="preserve">Total</t>
  </si>
  <si>
    <t xml:space="preserve">Cost per Wp</t>
  </si>
  <si>
    <t xml:space="preserve">Simple payback (yr)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</si>
</sst>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2"/>
      <name val="Arial"/>
      <family val="0"/>
      <charset val="1"/>
    </font>
    <font>
      <b val="true"/>
      <sz val="11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energy generation (kWh)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'Energy Yield'!F4</c:f>
              <c:strCache>
                <c:ptCount val="1"/>
                <c:pt idx="0">
                  <c:v>Energy (kWh)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'Energy Yield'!$A$5:$A$16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'Energy Yield'!$F$5:$F$16</c:f>
              <c:numCache>
                <c:formatCode>#,##0</c:formatCode>
                <c:ptCount val="12"/>
                <c:pt idx="0">
                  <c:v>1374.65625</c:v>
                </c:pt>
                <c:pt idx="1">
                  <c:v>1328.25</c:v>
                </c:pt>
                <c:pt idx="2">
                  <c:v>1518.132</c:v>
                </c:pt>
                <c:pt idx="3">
                  <c:v>1431.045</c:v>
                </c:pt>
                <c:pt idx="4">
                  <c:v>1317.624</c:v>
                </c:pt>
                <c:pt idx="5">
                  <c:v>990.99</c:v>
                </c:pt>
                <c:pt idx="6">
                  <c:v>1011.747</c:v>
                </c:pt>
                <c:pt idx="7">
                  <c:v>1080.288</c:v>
                </c:pt>
                <c:pt idx="8">
                  <c:v>1060.29</c:v>
                </c:pt>
                <c:pt idx="9">
                  <c:v>1288.98</c:v>
                </c:pt>
                <c:pt idx="10">
                  <c:v>1328.58</c:v>
                </c:pt>
                <c:pt idx="11">
                  <c:v>1342.176</c:v>
                </c:pt>
              </c:numCache>
            </c:numRef>
          </c:val>
        </c:ser>
        <c:gapWidth val="150"/>
        <c:overlap val="0"/>
        <c:axId val="99523585"/>
        <c:axId val="21441807"/>
      </c:barChart>
      <c:catAx>
        <c:axId val="995235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41807"/>
        <c:crosses val="autoZero"/>
        <c:auto val="1"/>
        <c:lblAlgn val="ctr"/>
        <c:lblOffset val="100"/>
        <c:noMultiLvlLbl val="0"/>
      </c:catAx>
      <c:valAx>
        <c:axId val="214418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5235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176040</xdr:rowOff>
    </xdr:from>
    <xdr:to>
      <xdr:col>17</xdr:col>
      <xdr:colOff>256320</xdr:colOff>
      <xdr:row>17</xdr:row>
      <xdr:rowOff>47880</xdr:rowOff>
    </xdr:to>
    <xdr:graphicFrame>
      <xdr:nvGraphicFramePr>
        <xdr:cNvPr id="0" name="Chart 1"/>
        <xdr:cNvGraphicFramePr/>
      </xdr:nvGraphicFramePr>
      <xdr:xfrm>
        <a:off x="8012520" y="57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70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3" customFormat="false" ht="15" hidden="false" customHeight="false" outlineLevel="0" collapsed="false">
      <c r="A3" s="2"/>
      <c r="B3" s="2"/>
      <c r="C3" s="2"/>
      <c r="D3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2" t="s">
        <v>6</v>
      </c>
      <c r="B5" s="4" t="n">
        <v>550</v>
      </c>
      <c r="C5" s="2" t="s">
        <v>7</v>
      </c>
      <c r="D5" s="2" t="s">
        <v>8</v>
      </c>
    </row>
    <row r="6" customFormat="false" ht="15" hidden="false" customHeight="false" outlineLevel="0" collapsed="false">
      <c r="A6" s="2" t="s">
        <v>9</v>
      </c>
      <c r="B6" s="4" t="n">
        <v>49.6</v>
      </c>
      <c r="C6" s="2" t="s">
        <v>10</v>
      </c>
      <c r="D6" s="2" t="s">
        <v>11</v>
      </c>
    </row>
    <row r="7" customFormat="false" ht="15" hidden="false" customHeight="false" outlineLevel="0" collapsed="false">
      <c r="A7" s="2" t="s">
        <v>12</v>
      </c>
      <c r="B7" s="4" t="n">
        <v>41.9</v>
      </c>
      <c r="C7" s="2" t="s">
        <v>10</v>
      </c>
      <c r="D7" s="2" t="s">
        <v>11</v>
      </c>
    </row>
    <row r="8" customFormat="false" ht="15" hidden="false" customHeight="false" outlineLevel="0" collapsed="false">
      <c r="A8" s="2" t="s">
        <v>13</v>
      </c>
      <c r="B8" s="4" t="n">
        <v>14</v>
      </c>
      <c r="C8" s="2" t="s">
        <v>14</v>
      </c>
      <c r="D8" s="2" t="s">
        <v>11</v>
      </c>
    </row>
    <row r="9" customFormat="false" ht="15" hidden="false" customHeight="false" outlineLevel="0" collapsed="false">
      <c r="A9" s="2" t="s">
        <v>15</v>
      </c>
      <c r="B9" s="4" t="n">
        <v>13.13</v>
      </c>
      <c r="C9" s="2" t="s">
        <v>14</v>
      </c>
      <c r="D9" s="2" t="s">
        <v>11</v>
      </c>
    </row>
    <row r="10" customFormat="false" ht="15" hidden="false" customHeight="false" outlineLevel="0" collapsed="false">
      <c r="A10" s="2" t="s">
        <v>16</v>
      </c>
      <c r="B10" s="4" t="n">
        <v>-0.27</v>
      </c>
      <c r="C10" s="2" t="s">
        <v>17</v>
      </c>
      <c r="D10" s="2" t="s">
        <v>11</v>
      </c>
    </row>
    <row r="11" customFormat="false" ht="15" hidden="false" customHeight="false" outlineLevel="0" collapsed="false">
      <c r="A11" s="2" t="s">
        <v>18</v>
      </c>
      <c r="B11" s="4" t="n">
        <v>-0.35</v>
      </c>
      <c r="C11" s="2" t="s">
        <v>17</v>
      </c>
      <c r="D11" s="2" t="s">
        <v>11</v>
      </c>
    </row>
    <row r="12" customFormat="false" ht="15" hidden="false" customHeight="false" outlineLevel="0" collapsed="false">
      <c r="A12" s="2" t="s">
        <v>19</v>
      </c>
      <c r="B12" s="4" t="n">
        <v>2.278</v>
      </c>
      <c r="C12" s="2" t="s">
        <v>20</v>
      </c>
      <c r="D12" s="2" t="s">
        <v>11</v>
      </c>
    </row>
    <row r="13" customFormat="false" ht="15" hidden="false" customHeight="false" outlineLevel="0" collapsed="false">
      <c r="A13" s="2" t="s">
        <v>21</v>
      </c>
      <c r="B13" s="4" t="n">
        <v>1.134</v>
      </c>
      <c r="C13" s="2" t="s">
        <v>20</v>
      </c>
      <c r="D13" s="2" t="s">
        <v>11</v>
      </c>
    </row>
    <row r="14" customFormat="false" ht="15" hidden="false" customHeight="false" outlineLevel="0" collapsed="false">
      <c r="A14" s="2" t="s">
        <v>22</v>
      </c>
      <c r="B14" s="4" t="n">
        <v>20</v>
      </c>
      <c r="C14" s="2" t="s">
        <v>23</v>
      </c>
      <c r="D14" s="2" t="s">
        <v>24</v>
      </c>
    </row>
    <row r="15" customFormat="false" ht="15" hidden="false" customHeight="false" outlineLevel="0" collapsed="false">
      <c r="A15" s="2" t="s">
        <v>25</v>
      </c>
      <c r="B15" s="4" t="n">
        <v>10</v>
      </c>
      <c r="C15" s="2" t="s">
        <v>23</v>
      </c>
      <c r="D15" s="2" t="s">
        <v>26</v>
      </c>
    </row>
    <row r="16" customFormat="false" ht="15" hidden="false" customHeight="false" outlineLevel="0" collapsed="false">
      <c r="A16" s="2" t="s">
        <v>27</v>
      </c>
      <c r="B16" s="4" t="n">
        <v>2</v>
      </c>
      <c r="C16" s="2" t="s">
        <v>23</v>
      </c>
      <c r="D16" s="2" t="s">
        <v>28</v>
      </c>
    </row>
    <row r="17" customFormat="false" ht="15" hidden="false" customHeight="false" outlineLevel="0" collapsed="false">
      <c r="A17" s="2" t="s">
        <v>29</v>
      </c>
      <c r="B17" s="4" t="n">
        <v>9</v>
      </c>
      <c r="C17" s="2" t="s">
        <v>30</v>
      </c>
      <c r="D17" s="2" t="s">
        <v>31</v>
      </c>
    </row>
    <row r="18" customFormat="false" ht="15" hidden="false" customHeight="false" outlineLevel="0" collapsed="false">
      <c r="A18" s="2" t="s">
        <v>32</v>
      </c>
      <c r="B18" s="4" t="n">
        <v>1000</v>
      </c>
      <c r="C18" s="2" t="s">
        <v>10</v>
      </c>
      <c r="D18" s="2" t="s">
        <v>33</v>
      </c>
    </row>
    <row r="19" customFormat="false" ht="15" hidden="false" customHeight="false" outlineLevel="0" collapsed="false">
      <c r="A19" s="2" t="s">
        <v>34</v>
      </c>
      <c r="B19" s="4" t="n">
        <v>150</v>
      </c>
      <c r="C19" s="2" t="s">
        <v>10</v>
      </c>
      <c r="D19" s="2" t="s">
        <v>33</v>
      </c>
    </row>
    <row r="20" customFormat="false" ht="15" hidden="false" customHeight="false" outlineLevel="0" collapsed="false">
      <c r="A20" s="2" t="s">
        <v>35</v>
      </c>
      <c r="B20" s="4" t="n">
        <v>750</v>
      </c>
      <c r="C20" s="2" t="s">
        <v>10</v>
      </c>
      <c r="D20" s="2" t="s">
        <v>33</v>
      </c>
    </row>
    <row r="21" customFormat="false" ht="15" hidden="false" customHeight="false" outlineLevel="0" collapsed="false">
      <c r="A21" s="2" t="s">
        <v>36</v>
      </c>
      <c r="B21" s="4" t="n">
        <v>16</v>
      </c>
      <c r="C21" s="2" t="s">
        <v>14</v>
      </c>
      <c r="D21" s="2" t="s">
        <v>33</v>
      </c>
    </row>
    <row r="22" customFormat="false" ht="15" hidden="false" customHeight="false" outlineLevel="0" collapsed="false">
      <c r="A22" s="2" t="s">
        <v>37</v>
      </c>
      <c r="B22" s="4" t="n">
        <v>8</v>
      </c>
      <c r="C22" s="2" t="s">
        <v>38</v>
      </c>
      <c r="D22" s="2" t="s">
        <v>39</v>
      </c>
    </row>
    <row r="23" customFormat="false" ht="15" hidden="false" customHeight="false" outlineLevel="0" collapsed="false">
      <c r="A23" s="2" t="s">
        <v>40</v>
      </c>
      <c r="B23" s="4" t="n">
        <v>70</v>
      </c>
      <c r="C23" s="2" t="s">
        <v>38</v>
      </c>
      <c r="D23" s="2" t="s">
        <v>41</v>
      </c>
    </row>
    <row r="24" customFormat="false" ht="15" hidden="false" customHeight="false" outlineLevel="0" collapsed="false">
      <c r="A24" s="2" t="s">
        <v>42</v>
      </c>
      <c r="B24" s="4" t="n">
        <v>23</v>
      </c>
      <c r="C24" s="2" t="s">
        <v>43</v>
      </c>
      <c r="D24" s="2" t="s">
        <v>44</v>
      </c>
    </row>
    <row r="25" customFormat="false" ht="15" hidden="false" customHeight="false" outlineLevel="0" collapsed="false">
      <c r="A25" s="2" t="s">
        <v>45</v>
      </c>
      <c r="B25" s="4" t="n">
        <v>0.75</v>
      </c>
      <c r="C25" s="2" t="s">
        <v>46</v>
      </c>
      <c r="D25" s="2" t="s">
        <v>47</v>
      </c>
    </row>
    <row r="26" customFormat="false" ht="15" hidden="false" customHeight="false" outlineLevel="0" collapsed="false">
      <c r="A26" s="2" t="s">
        <v>48</v>
      </c>
      <c r="B26" s="4" t="n">
        <v>10</v>
      </c>
      <c r="C26" s="2" t="s">
        <v>49</v>
      </c>
      <c r="D26" s="2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16.15" hidden="false" customHeight="false" outlineLevel="0" collapsed="false">
      <c r="A1" s="1" t="s">
        <v>51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3" t="s">
        <v>52</v>
      </c>
      <c r="B3" s="3" t="s">
        <v>3</v>
      </c>
      <c r="C3" s="3" t="s">
        <v>4</v>
      </c>
      <c r="D3" s="3" t="s">
        <v>53</v>
      </c>
      <c r="E3" s="3" t="s">
        <v>54</v>
      </c>
    </row>
    <row r="4" customFormat="false" ht="15" hidden="false" customHeight="false" outlineLevel="0" collapsed="false">
      <c r="A4" s="5" t="s">
        <v>55</v>
      </c>
      <c r="B4" s="6" t="n">
        <f aca="false">Inputs!$B$14*Inputs!$B$5/1000</f>
        <v>11</v>
      </c>
      <c r="C4" s="5" t="s">
        <v>56</v>
      </c>
      <c r="D4" s="5"/>
      <c r="E4" s="5"/>
    </row>
    <row r="5" customFormat="false" ht="15" hidden="false" customHeight="false" outlineLevel="0" collapsed="false">
      <c r="A5" s="5" t="s">
        <v>57</v>
      </c>
      <c r="B5" s="6" t="n">
        <f aca="false">B4/Inputs!$B$17</f>
        <v>1.22222222222222</v>
      </c>
      <c r="C5" s="5" t="s">
        <v>46</v>
      </c>
      <c r="D5" s="5" t="s">
        <v>58</v>
      </c>
      <c r="E5" s="5" t="str">
        <f aca="false">IF(AND(B5&gt;=1,B5&lt;=1.3),"OK","CHECK")</f>
        <v>OK</v>
      </c>
    </row>
    <row r="6" customFormat="false" ht="15" hidden="false" customHeight="false" outlineLevel="0" collapsed="false">
      <c r="A6" s="5" t="s">
        <v>59</v>
      </c>
      <c r="B6" s="6" t="n">
        <f aca="false">Inputs!$B$6*(1+Inputs!$B$10/100*(Inputs!$B$22-25))</f>
        <v>51.87664</v>
      </c>
      <c r="C6" s="5" t="s">
        <v>10</v>
      </c>
      <c r="D6" s="5"/>
      <c r="E6" s="5"/>
    </row>
    <row r="7" customFormat="false" ht="15" hidden="false" customHeight="false" outlineLevel="0" collapsed="false">
      <c r="A7" s="5" t="s">
        <v>60</v>
      </c>
      <c r="B7" s="6" t="n">
        <f aca="false">B6*Inputs!$B$15</f>
        <v>518.7664</v>
      </c>
      <c r="C7" s="5" t="s">
        <v>10</v>
      </c>
      <c r="D7" s="5" t="n">
        <f aca="false">Inputs!$B$18</f>
        <v>1000</v>
      </c>
      <c r="E7" s="5" t="str">
        <f aca="false">IF(B7&lt;D7,"OK","FAIL")</f>
        <v>OK</v>
      </c>
    </row>
    <row r="8" customFormat="false" ht="15" hidden="false" customHeight="false" outlineLevel="0" collapsed="false">
      <c r="A8" s="5" t="s">
        <v>61</v>
      </c>
      <c r="B8" s="6" t="n">
        <f aca="false">Inputs!$B$7*(1+Inputs!$B$11/100*(Inputs!$B$23-25))</f>
        <v>35.30075</v>
      </c>
      <c r="C8" s="5" t="s">
        <v>10</v>
      </c>
      <c r="D8" s="5"/>
      <c r="E8" s="5"/>
    </row>
    <row r="9" customFormat="false" ht="15" hidden="false" customHeight="false" outlineLevel="0" collapsed="false">
      <c r="A9" s="5" t="s">
        <v>62</v>
      </c>
      <c r="B9" s="6" t="n">
        <f aca="false">B8*Inputs!$B$15</f>
        <v>353.0075</v>
      </c>
      <c r="C9" s="5" t="s">
        <v>10</v>
      </c>
      <c r="D9" s="5" t="n">
        <f aca="false">Inputs!$B$19</f>
        <v>150</v>
      </c>
      <c r="E9" s="5" t="str">
        <f aca="false">IF(B9&gt;D9,"OK","FAIL")</f>
        <v>OK</v>
      </c>
    </row>
    <row r="10" customFormat="false" ht="15" hidden="false" customHeight="false" outlineLevel="0" collapsed="false">
      <c r="A10" s="5" t="s">
        <v>63</v>
      </c>
      <c r="B10" s="6" t="n">
        <f aca="false">Inputs!$B$7*Inputs!$B$15</f>
        <v>419</v>
      </c>
      <c r="C10" s="5" t="s">
        <v>10</v>
      </c>
      <c r="D10" s="5" t="n">
        <f aca="false">Inputs!$B$20</f>
        <v>750</v>
      </c>
      <c r="E10" s="5" t="str">
        <f aca="false">IF(B10&lt;D10,"OK","FAIL")</f>
        <v>OK</v>
      </c>
    </row>
    <row r="11" customFormat="false" ht="15" hidden="false" customHeight="false" outlineLevel="0" collapsed="false">
      <c r="A11" s="5" t="s">
        <v>64</v>
      </c>
      <c r="B11" s="6" t="n">
        <f aca="false">1.25*Inputs!$B$8</f>
        <v>17.5</v>
      </c>
      <c r="C11" s="5" t="s">
        <v>14</v>
      </c>
      <c r="D11" s="5" t="n">
        <f aca="false">Inputs!$B$21</f>
        <v>16</v>
      </c>
      <c r="E11" s="5" t="str">
        <f aca="false">IF(B11&lt;=D11*1.25,"OK (Isc within inverter short-circuit rating)","CHECK")</f>
        <v>OK (Isc within inverter short-circuit rating)</v>
      </c>
    </row>
    <row r="12" customFormat="false" ht="15" hidden="false" customHeight="false" outlineLevel="0" collapsed="false">
      <c r="A12" s="5" t="s">
        <v>65</v>
      </c>
      <c r="B12" s="6" t="n">
        <f aca="false">Inputs!$B$15*Inputs!$B$16</f>
        <v>20</v>
      </c>
      <c r="C12" s="5" t="s">
        <v>23</v>
      </c>
      <c r="D12" s="5" t="n">
        <f aca="false">Inputs!$B$14</f>
        <v>20</v>
      </c>
      <c r="E12" s="5" t="str">
        <f aca="false">IF(B12=D12,"OK","MISMATCH")</f>
        <v>OK</v>
      </c>
    </row>
    <row r="13" customFormat="false" ht="15" hidden="false" customHeight="false" outlineLevel="0" collapsed="false">
      <c r="A13" s="2"/>
      <c r="B13" s="2"/>
      <c r="C13" s="2"/>
      <c r="D13" s="2"/>
      <c r="E13" s="2"/>
    </row>
    <row r="14" customFormat="false" ht="15" hidden="false" customHeight="false" outlineLevel="0" collapsed="false">
      <c r="A14" s="2" t="s">
        <v>66</v>
      </c>
      <c r="B14" s="2"/>
      <c r="C14" s="2"/>
      <c r="D14" s="2"/>
      <c r="E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0"/>
  </cols>
  <sheetData>
    <row r="1" customFormat="false" ht="16.15" hidden="false" customHeight="false" outlineLevel="0" collapsed="false">
      <c r="A1" s="1" t="s">
        <v>67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2" t="s">
        <v>68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26.85" hidden="false" customHeight="false" outlineLevel="0" collapsed="false">
      <c r="A4" s="3" t="s">
        <v>69</v>
      </c>
      <c r="B4" s="3" t="s">
        <v>70</v>
      </c>
      <c r="C4" s="3" t="s">
        <v>71</v>
      </c>
      <c r="D4" s="3" t="s">
        <v>72</v>
      </c>
      <c r="E4" s="3" t="s">
        <v>73</v>
      </c>
      <c r="F4" s="3" t="s">
        <v>74</v>
      </c>
      <c r="G4" s="3" t="s">
        <v>75</v>
      </c>
    </row>
    <row r="5" customFormat="false" ht="15" hidden="false" customHeight="false" outlineLevel="0" collapsed="false">
      <c r="A5" s="2" t="s">
        <v>76</v>
      </c>
      <c r="B5" s="2" t="n">
        <v>31</v>
      </c>
      <c r="C5" s="4" t="n">
        <v>4.3</v>
      </c>
      <c r="D5" s="4" t="n">
        <v>1.25</v>
      </c>
      <c r="E5" s="7" t="n">
        <f aca="false">B5*C5*D5</f>
        <v>166.625</v>
      </c>
      <c r="F5" s="8" t="n">
        <f aca="false">E5*'String Sizing'!$B$4*Inputs!$B$25</f>
        <v>1374.65625</v>
      </c>
      <c r="G5" s="7" t="n">
        <f aca="false">F5/'String Sizing'!$B$4</f>
        <v>124.96875</v>
      </c>
    </row>
    <row r="6" customFormat="false" ht="15" hidden="false" customHeight="false" outlineLevel="0" collapsed="false">
      <c r="A6" s="2" t="s">
        <v>77</v>
      </c>
      <c r="B6" s="2" t="n">
        <v>28</v>
      </c>
      <c r="C6" s="4" t="n">
        <v>5</v>
      </c>
      <c r="D6" s="4" t="n">
        <v>1.15</v>
      </c>
      <c r="E6" s="7" t="n">
        <f aca="false">B6*C6*D6</f>
        <v>161</v>
      </c>
      <c r="F6" s="8" t="n">
        <f aca="false">E6*'String Sizing'!$B$4*Inputs!$B$25</f>
        <v>1328.25</v>
      </c>
      <c r="G6" s="7" t="n">
        <f aca="false">F6/'String Sizing'!$B$4</f>
        <v>120.75</v>
      </c>
    </row>
    <row r="7" customFormat="false" ht="15" hidden="false" customHeight="false" outlineLevel="0" collapsed="false">
      <c r="A7" s="2" t="s">
        <v>78</v>
      </c>
      <c r="B7" s="2" t="n">
        <v>31</v>
      </c>
      <c r="C7" s="4" t="n">
        <v>5.6</v>
      </c>
      <c r="D7" s="4" t="n">
        <v>1.06</v>
      </c>
      <c r="E7" s="7" t="n">
        <f aca="false">B7*C7*D7</f>
        <v>184.016</v>
      </c>
      <c r="F7" s="8" t="n">
        <f aca="false">E7*'String Sizing'!$B$4*Inputs!$B$25</f>
        <v>1518.132</v>
      </c>
      <c r="G7" s="7" t="n">
        <f aca="false">F7/'String Sizing'!$B$4</f>
        <v>138.012</v>
      </c>
    </row>
    <row r="8" customFormat="false" ht="15" hidden="false" customHeight="false" outlineLevel="0" collapsed="false">
      <c r="A8" s="2" t="s">
        <v>79</v>
      </c>
      <c r="B8" s="2" t="n">
        <v>30</v>
      </c>
      <c r="C8" s="4" t="n">
        <v>5.9</v>
      </c>
      <c r="D8" s="4" t="n">
        <v>0.98</v>
      </c>
      <c r="E8" s="7" t="n">
        <f aca="false">B8*C8*D8</f>
        <v>173.46</v>
      </c>
      <c r="F8" s="8" t="n">
        <f aca="false">E8*'String Sizing'!$B$4*Inputs!$B$25</f>
        <v>1431.045</v>
      </c>
      <c r="G8" s="7" t="n">
        <f aca="false">F8/'String Sizing'!$B$4</f>
        <v>130.095</v>
      </c>
    </row>
    <row r="9" customFormat="false" ht="15" hidden="false" customHeight="false" outlineLevel="0" collapsed="false">
      <c r="A9" s="2" t="s">
        <v>80</v>
      </c>
      <c r="B9" s="2" t="n">
        <v>31</v>
      </c>
      <c r="C9" s="4" t="n">
        <v>5.6</v>
      </c>
      <c r="D9" s="4" t="n">
        <v>0.92</v>
      </c>
      <c r="E9" s="7" t="n">
        <f aca="false">B9*C9*D9</f>
        <v>159.712</v>
      </c>
      <c r="F9" s="8" t="n">
        <f aca="false">E9*'String Sizing'!$B$4*Inputs!$B$25</f>
        <v>1317.624</v>
      </c>
      <c r="G9" s="7" t="n">
        <f aca="false">F9/'String Sizing'!$B$4</f>
        <v>119.784</v>
      </c>
    </row>
    <row r="10" customFormat="false" ht="15" hidden="false" customHeight="false" outlineLevel="0" collapsed="false">
      <c r="A10" s="2" t="s">
        <v>81</v>
      </c>
      <c r="B10" s="2" t="n">
        <v>30</v>
      </c>
      <c r="C10" s="4" t="n">
        <v>4.4</v>
      </c>
      <c r="D10" s="4" t="n">
        <v>0.91</v>
      </c>
      <c r="E10" s="7" t="n">
        <f aca="false">B10*C10*D10</f>
        <v>120.12</v>
      </c>
      <c r="F10" s="8" t="n">
        <f aca="false">E10*'String Sizing'!$B$4*Inputs!$B$25</f>
        <v>990.99</v>
      </c>
      <c r="G10" s="7" t="n">
        <f aca="false">F10/'String Sizing'!$B$4</f>
        <v>90.09</v>
      </c>
    </row>
    <row r="11" customFormat="false" ht="15" hidden="false" customHeight="false" outlineLevel="0" collapsed="false">
      <c r="A11" s="2" t="s">
        <v>82</v>
      </c>
      <c r="B11" s="2" t="n">
        <v>31</v>
      </c>
      <c r="C11" s="4" t="n">
        <v>4.3</v>
      </c>
      <c r="D11" s="4" t="n">
        <v>0.92</v>
      </c>
      <c r="E11" s="7" t="n">
        <f aca="false">B11*C11*D11</f>
        <v>122.636</v>
      </c>
      <c r="F11" s="8" t="n">
        <f aca="false">E11*'String Sizing'!$B$4*Inputs!$B$25</f>
        <v>1011.747</v>
      </c>
      <c r="G11" s="7" t="n">
        <f aca="false">F11/'String Sizing'!$B$4</f>
        <v>91.977</v>
      </c>
    </row>
    <row r="12" customFormat="false" ht="15" hidden="false" customHeight="false" outlineLevel="0" collapsed="false">
      <c r="A12" s="2" t="s">
        <v>83</v>
      </c>
      <c r="B12" s="2" t="n">
        <v>31</v>
      </c>
      <c r="C12" s="4" t="n">
        <v>4.4</v>
      </c>
      <c r="D12" s="4" t="n">
        <v>0.96</v>
      </c>
      <c r="E12" s="7" t="n">
        <f aca="false">B12*C12*D12</f>
        <v>130.944</v>
      </c>
      <c r="F12" s="8" t="n">
        <f aca="false">E12*'String Sizing'!$B$4*Inputs!$B$25</f>
        <v>1080.288</v>
      </c>
      <c r="G12" s="7" t="n">
        <f aca="false">F12/'String Sizing'!$B$4</f>
        <v>98.208</v>
      </c>
    </row>
    <row r="13" customFormat="false" ht="15" hidden="false" customHeight="false" outlineLevel="0" collapsed="false">
      <c r="A13" s="2" t="s">
        <v>84</v>
      </c>
      <c r="B13" s="2" t="n">
        <v>30</v>
      </c>
      <c r="C13" s="4" t="n">
        <v>4.2</v>
      </c>
      <c r="D13" s="4" t="n">
        <v>1.02</v>
      </c>
      <c r="E13" s="7" t="n">
        <f aca="false">B13*C13*D13</f>
        <v>128.52</v>
      </c>
      <c r="F13" s="8" t="n">
        <f aca="false">E13*'String Sizing'!$B$4*Inputs!$B$25</f>
        <v>1060.29</v>
      </c>
      <c r="G13" s="7" t="n">
        <f aca="false">F13/'String Sizing'!$B$4</f>
        <v>96.39</v>
      </c>
    </row>
    <row r="14" customFormat="false" ht="15" hidden="false" customHeight="false" outlineLevel="0" collapsed="false">
      <c r="A14" s="2" t="s">
        <v>85</v>
      </c>
      <c r="B14" s="2" t="n">
        <v>31</v>
      </c>
      <c r="C14" s="4" t="n">
        <v>4.5</v>
      </c>
      <c r="D14" s="4" t="n">
        <v>1.12</v>
      </c>
      <c r="E14" s="7" t="n">
        <f aca="false">B14*C14*D14</f>
        <v>156.24</v>
      </c>
      <c r="F14" s="8" t="n">
        <f aca="false">E14*'String Sizing'!$B$4*Inputs!$B$25</f>
        <v>1288.98</v>
      </c>
      <c r="G14" s="7" t="n">
        <f aca="false">F14/'String Sizing'!$B$4</f>
        <v>117.18</v>
      </c>
    </row>
    <row r="15" customFormat="false" ht="15" hidden="false" customHeight="false" outlineLevel="0" collapsed="false">
      <c r="A15" s="2" t="s">
        <v>86</v>
      </c>
      <c r="B15" s="2" t="n">
        <v>30</v>
      </c>
      <c r="C15" s="4" t="n">
        <v>4.4</v>
      </c>
      <c r="D15" s="4" t="n">
        <v>1.22</v>
      </c>
      <c r="E15" s="7" t="n">
        <f aca="false">B15*C15*D15</f>
        <v>161.04</v>
      </c>
      <c r="F15" s="8" t="n">
        <f aca="false">E15*'String Sizing'!$B$4*Inputs!$B$25</f>
        <v>1328.58</v>
      </c>
      <c r="G15" s="7" t="n">
        <f aca="false">F15/'String Sizing'!$B$4</f>
        <v>120.78</v>
      </c>
    </row>
    <row r="16" customFormat="false" ht="15" hidden="false" customHeight="false" outlineLevel="0" collapsed="false">
      <c r="A16" s="2" t="s">
        <v>87</v>
      </c>
      <c r="B16" s="2" t="n">
        <v>31</v>
      </c>
      <c r="C16" s="4" t="n">
        <v>4.1</v>
      </c>
      <c r="D16" s="4" t="n">
        <v>1.28</v>
      </c>
      <c r="E16" s="7" t="n">
        <f aca="false">B16*C16*D16</f>
        <v>162.688</v>
      </c>
      <c r="F16" s="8" t="n">
        <f aca="false">E16*'String Sizing'!$B$4*Inputs!$B$25</f>
        <v>1342.176</v>
      </c>
      <c r="G16" s="7" t="n">
        <f aca="false">F16/'String Sizing'!$B$4</f>
        <v>122.016</v>
      </c>
    </row>
    <row r="17" customFormat="false" ht="15" hidden="false" customHeight="false" outlineLevel="0" collapsed="false">
      <c r="A17" s="9" t="s">
        <v>88</v>
      </c>
      <c r="B17" s="2" t="n">
        <f aca="false">SUM(B5:B16)</f>
        <v>365</v>
      </c>
      <c r="C17" s="2"/>
      <c r="D17" s="2"/>
      <c r="E17" s="10" t="n">
        <f aca="false">SUM(E5:E16)</f>
        <v>1827.001</v>
      </c>
      <c r="F17" s="10" t="n">
        <f aca="false">SUM(F5:F16)</f>
        <v>15072.75825</v>
      </c>
      <c r="G17" s="10" t="n">
        <f aca="false">SUM(G5:G16)</f>
        <v>1370.25075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</row>
    <row r="19" customFormat="false" ht="15" hidden="false" customHeight="false" outlineLevel="0" collapsed="false">
      <c r="A19" s="2" t="s">
        <v>89</v>
      </c>
      <c r="B19" s="8" t="n">
        <f aca="false">F17*Inputs!$B$26</f>
        <v>150727.5825</v>
      </c>
      <c r="C19" s="2"/>
      <c r="D19" s="2"/>
      <c r="E19" s="2"/>
      <c r="F19" s="2"/>
      <c r="G19" s="2"/>
    </row>
    <row r="20" customFormat="false" ht="15" hidden="false" customHeight="false" outlineLevel="0" collapsed="false">
      <c r="A20" s="2" t="s">
        <v>90</v>
      </c>
      <c r="B20" s="7" t="n">
        <f aca="false">F17*0.67/1000</f>
        <v>10.0987480275</v>
      </c>
      <c r="C20" s="2" t="s">
        <v>91</v>
      </c>
      <c r="D20" s="2"/>
      <c r="E20" s="2"/>
      <c r="F20" s="2"/>
      <c r="G2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10" min="8" style="0" width="9"/>
  </cols>
  <sheetData>
    <row r="1" customFormat="false" ht="15" hidden="false" customHeight="false" outlineLevel="0" collapsed="false">
      <c r="A1" s="11" t="s">
        <v>92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</row>
    <row r="3" customFormat="false" ht="26.85" hidden="false" customHeight="false" outlineLevel="0" collapsed="false">
      <c r="A3" s="3" t="s">
        <v>93</v>
      </c>
      <c r="B3" s="3" t="s">
        <v>94</v>
      </c>
      <c r="C3" s="3" t="s">
        <v>95</v>
      </c>
      <c r="D3" s="3" t="s">
        <v>96</v>
      </c>
      <c r="E3" s="3" t="s">
        <v>97</v>
      </c>
      <c r="F3" s="3" t="s">
        <v>98</v>
      </c>
      <c r="G3" s="3" t="s">
        <v>99</v>
      </c>
      <c r="H3" s="3" t="s">
        <v>100</v>
      </c>
      <c r="I3" s="3" t="s">
        <v>101</v>
      </c>
      <c r="J3" s="3" t="s">
        <v>54</v>
      </c>
    </row>
    <row r="4" customFormat="false" ht="15" hidden="false" customHeight="false" outlineLevel="0" collapsed="false">
      <c r="A4" s="5" t="s">
        <v>102</v>
      </c>
      <c r="B4" s="5" t="s">
        <v>103</v>
      </c>
      <c r="C4" s="12" t="n">
        <v>25</v>
      </c>
      <c r="D4" s="6" t="n">
        <f aca="false">Inputs!$B$9</f>
        <v>13.13</v>
      </c>
      <c r="E4" s="12" t="n">
        <v>4</v>
      </c>
      <c r="F4" s="6" t="n">
        <f aca="false">'String Sizing'!B10</f>
        <v>419</v>
      </c>
      <c r="G4" s="13" t="n">
        <f aca="false">2*C4*D4*0.0225/E4</f>
        <v>3.6928125</v>
      </c>
      <c r="H4" s="13" t="n">
        <f aca="false">G4/F4*100</f>
        <v>0.881339498806683</v>
      </c>
      <c r="I4" s="2" t="n">
        <v>1.5</v>
      </c>
      <c r="J4" s="2" t="str">
        <f aca="false">IF(H4&lt;=I4,"OK","UPSIZE")</f>
        <v>OK</v>
      </c>
    </row>
    <row r="5" customFormat="false" ht="15" hidden="false" customHeight="false" outlineLevel="0" collapsed="false">
      <c r="A5" s="5" t="s">
        <v>104</v>
      </c>
      <c r="B5" s="5" t="s">
        <v>103</v>
      </c>
      <c r="C5" s="12" t="n">
        <v>30</v>
      </c>
      <c r="D5" s="6" t="n">
        <f aca="false">Inputs!$B$9</f>
        <v>13.13</v>
      </c>
      <c r="E5" s="12" t="n">
        <v>4</v>
      </c>
      <c r="F5" s="6" t="n">
        <f aca="false">'String Sizing'!B10</f>
        <v>419</v>
      </c>
      <c r="G5" s="13" t="n">
        <f aca="false">2*C5*D5*0.0225/E5</f>
        <v>4.431375</v>
      </c>
      <c r="H5" s="13" t="n">
        <f aca="false">G5/F5*100</f>
        <v>1.05760739856802</v>
      </c>
      <c r="I5" s="2" t="n">
        <v>1.5</v>
      </c>
      <c r="J5" s="2" t="str">
        <f aca="false">IF(H5&lt;=I5,"OK","UPSIZE")</f>
        <v>OK</v>
      </c>
    </row>
    <row r="6" customFormat="false" ht="15" hidden="false" customHeight="false" outlineLevel="0" collapsed="false">
      <c r="A6" s="5" t="s">
        <v>105</v>
      </c>
      <c r="B6" s="5" t="s">
        <v>106</v>
      </c>
      <c r="C6" s="12" t="n">
        <v>10</v>
      </c>
      <c r="D6" s="6" t="n">
        <f aca="false">Inputs!$B$17*1000/(SQRT(3)*400*0.99)</f>
        <v>13.1215970270369</v>
      </c>
      <c r="E6" s="12" t="n">
        <v>6</v>
      </c>
      <c r="F6" s="5" t="n">
        <v>400</v>
      </c>
      <c r="G6" s="13" t="n">
        <f aca="false">SQRT(3)*C6*D6*0.0225/E6</f>
        <v>0.852272727272727</v>
      </c>
      <c r="H6" s="13" t="n">
        <f aca="false">G6/F6*100</f>
        <v>0.213068181818182</v>
      </c>
      <c r="I6" s="2" t="n">
        <v>1</v>
      </c>
      <c r="J6" s="2" t="str">
        <f aca="false">IF(H6&lt;=I6,"OK","UPSIZE")</f>
        <v>OK</v>
      </c>
    </row>
    <row r="7" customFormat="false" ht="15" hidden="false" customHeight="false" outlineLevel="0" collapsed="false">
      <c r="A7" s="5" t="s">
        <v>107</v>
      </c>
      <c r="B7" s="5" t="s">
        <v>106</v>
      </c>
      <c r="C7" s="12" t="n">
        <v>20</v>
      </c>
      <c r="D7" s="6" t="n">
        <f aca="false">D6</f>
        <v>13.1215970270369</v>
      </c>
      <c r="E7" s="12" t="n">
        <v>10</v>
      </c>
      <c r="F7" s="5" t="n">
        <v>400</v>
      </c>
      <c r="G7" s="13" t="n">
        <f aca="false">SQRT(3)*C7*D7*0.0225/E7</f>
        <v>1.02272727272727</v>
      </c>
      <c r="H7" s="13" t="n">
        <f aca="false">G7/F7*100</f>
        <v>0.255681818181818</v>
      </c>
      <c r="I7" s="2" t="n">
        <v>1</v>
      </c>
      <c r="J7" s="2" t="str">
        <f aca="false">IF(H7&lt;=I7,"OK","UPSIZE")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55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7" min="6" style="0" width="15"/>
  </cols>
  <sheetData>
    <row r="1" customFormat="false" ht="16.15" hidden="false" customHeight="false" outlineLevel="0" collapsed="false">
      <c r="A1" s="1" t="s">
        <v>108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14" t="s">
        <v>109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26.85" hidden="false" customHeight="false" outlineLevel="0" collapsed="false">
      <c r="A4" s="3" t="s">
        <v>110</v>
      </c>
      <c r="B4" s="3" t="s">
        <v>111</v>
      </c>
      <c r="C4" s="3" t="s">
        <v>112</v>
      </c>
      <c r="D4" s="3" t="s">
        <v>4</v>
      </c>
      <c r="E4" s="3" t="s">
        <v>113</v>
      </c>
      <c r="F4" s="3" t="s">
        <v>114</v>
      </c>
      <c r="G4" s="3" t="s">
        <v>115</v>
      </c>
    </row>
    <row r="5" customFormat="false" ht="15" hidden="false" customHeight="false" outlineLevel="0" collapsed="false">
      <c r="A5" s="5" t="n">
        <v>1</v>
      </c>
      <c r="B5" s="5" t="s">
        <v>116</v>
      </c>
      <c r="C5" s="5" t="s">
        <v>117</v>
      </c>
      <c r="D5" s="5" t="s">
        <v>23</v>
      </c>
      <c r="E5" s="15" t="n">
        <f aca="false">Inputs!$B$14</f>
        <v>20</v>
      </c>
      <c r="F5" s="12" t="n">
        <v>0</v>
      </c>
      <c r="G5" s="16" t="n">
        <f aca="false">E5*F5</f>
        <v>0</v>
      </c>
    </row>
    <row r="6" customFormat="false" ht="15" hidden="false" customHeight="false" outlineLevel="0" collapsed="false">
      <c r="A6" s="5" t="n">
        <v>2</v>
      </c>
      <c r="B6" s="5" t="s">
        <v>118</v>
      </c>
      <c r="C6" s="5" t="s">
        <v>119</v>
      </c>
      <c r="D6" s="5" t="s">
        <v>23</v>
      </c>
      <c r="E6" s="15" t="n">
        <v>1</v>
      </c>
      <c r="F6" s="12" t="n">
        <v>0</v>
      </c>
      <c r="G6" s="16" t="n">
        <f aca="false">E6*F6</f>
        <v>0</v>
      </c>
    </row>
    <row r="7" customFormat="false" ht="15" hidden="false" customHeight="false" outlineLevel="0" collapsed="false">
      <c r="A7" s="5" t="n">
        <v>3</v>
      </c>
      <c r="B7" s="5" t="s">
        <v>120</v>
      </c>
      <c r="C7" s="5" t="s">
        <v>121</v>
      </c>
      <c r="D7" s="5" t="s">
        <v>56</v>
      </c>
      <c r="E7" s="15" t="n">
        <f aca="false">'String Sizing'!B4</f>
        <v>11</v>
      </c>
      <c r="F7" s="12" t="n">
        <v>0</v>
      </c>
      <c r="G7" s="16" t="n">
        <f aca="false">E7*F7</f>
        <v>0</v>
      </c>
    </row>
    <row r="8" customFormat="false" ht="15" hidden="false" customHeight="false" outlineLevel="0" collapsed="false">
      <c r="A8" s="5" t="n">
        <v>4</v>
      </c>
      <c r="B8" s="5" t="s">
        <v>122</v>
      </c>
      <c r="C8" s="5" t="s">
        <v>123</v>
      </c>
      <c r="D8" s="5" t="s">
        <v>124</v>
      </c>
      <c r="E8" s="15" t="n">
        <v>1</v>
      </c>
      <c r="F8" s="12" t="n">
        <v>0</v>
      </c>
      <c r="G8" s="16" t="n">
        <f aca="false">E8*F8</f>
        <v>0</v>
      </c>
    </row>
    <row r="9" customFormat="false" ht="15" hidden="false" customHeight="false" outlineLevel="0" collapsed="false">
      <c r="A9" s="5" t="n">
        <v>5</v>
      </c>
      <c r="B9" s="5" t="s">
        <v>125</v>
      </c>
      <c r="C9" s="5" t="s">
        <v>126</v>
      </c>
      <c r="D9" s="5" t="s">
        <v>20</v>
      </c>
      <c r="E9" s="15" t="n">
        <f aca="false">2*('Cable Sizing'!C4+'Cable Sizing'!C5)*1.1</f>
        <v>121</v>
      </c>
      <c r="F9" s="12" t="n">
        <v>0</v>
      </c>
      <c r="G9" s="16" t="n">
        <f aca="false">E9*F9</f>
        <v>0</v>
      </c>
    </row>
    <row r="10" customFormat="false" ht="15" hidden="false" customHeight="false" outlineLevel="0" collapsed="false">
      <c r="A10" s="5" t="n">
        <v>6</v>
      </c>
      <c r="B10" s="5" t="s">
        <v>127</v>
      </c>
      <c r="C10" s="5" t="s">
        <v>128</v>
      </c>
      <c r="D10" s="5" t="s">
        <v>20</v>
      </c>
      <c r="E10" s="15" t="n">
        <v>10</v>
      </c>
      <c r="F10" s="12" t="n">
        <v>0</v>
      </c>
      <c r="G10" s="16" t="n">
        <f aca="false">E10*F10</f>
        <v>0</v>
      </c>
    </row>
    <row r="11" customFormat="false" ht="15" hidden="false" customHeight="false" outlineLevel="0" collapsed="false">
      <c r="A11" s="5" t="n">
        <v>7</v>
      </c>
      <c r="B11" s="5" t="s">
        <v>129</v>
      </c>
      <c r="C11" s="5" t="s">
        <v>130</v>
      </c>
      <c r="D11" s="5" t="s">
        <v>131</v>
      </c>
      <c r="E11" s="15" t="n">
        <v>8</v>
      </c>
      <c r="F11" s="12" t="n">
        <v>0</v>
      </c>
      <c r="G11" s="16" t="n">
        <f aca="false">E11*F11</f>
        <v>0</v>
      </c>
    </row>
    <row r="12" customFormat="false" ht="15" hidden="false" customHeight="false" outlineLevel="0" collapsed="false">
      <c r="A12" s="5" t="n">
        <v>8</v>
      </c>
      <c r="B12" s="5" t="s">
        <v>132</v>
      </c>
      <c r="C12" s="5" t="s">
        <v>133</v>
      </c>
      <c r="D12" s="5" t="s">
        <v>20</v>
      </c>
      <c r="E12" s="15" t="n">
        <f aca="false">'Cable Sizing'!C6*1.1</f>
        <v>11</v>
      </c>
      <c r="F12" s="12" t="n">
        <v>0</v>
      </c>
      <c r="G12" s="16" t="n">
        <f aca="false">E12*F12</f>
        <v>0</v>
      </c>
    </row>
    <row r="13" customFormat="false" ht="15" hidden="false" customHeight="false" outlineLevel="0" collapsed="false">
      <c r="A13" s="5" t="n">
        <v>9</v>
      </c>
      <c r="B13" s="5" t="s">
        <v>132</v>
      </c>
      <c r="C13" s="5" t="s">
        <v>134</v>
      </c>
      <c r="D13" s="5" t="s">
        <v>20</v>
      </c>
      <c r="E13" s="15" t="n">
        <f aca="false">'Cable Sizing'!C7*1.1</f>
        <v>22</v>
      </c>
      <c r="F13" s="12" t="n">
        <v>0</v>
      </c>
      <c r="G13" s="16" t="n">
        <f aca="false">E13*F13</f>
        <v>0</v>
      </c>
    </row>
    <row r="14" customFormat="false" ht="15" hidden="false" customHeight="false" outlineLevel="0" collapsed="false">
      <c r="A14" s="5" t="n">
        <v>10</v>
      </c>
      <c r="B14" s="5" t="s">
        <v>135</v>
      </c>
      <c r="C14" s="5" t="s">
        <v>136</v>
      </c>
      <c r="D14" s="5" t="s">
        <v>124</v>
      </c>
      <c r="E14" s="15" t="n">
        <v>1</v>
      </c>
      <c r="F14" s="12" t="n">
        <v>0</v>
      </c>
      <c r="G14" s="16" t="n">
        <f aca="false">E14*F14</f>
        <v>0</v>
      </c>
    </row>
    <row r="15" customFormat="false" ht="15" hidden="false" customHeight="false" outlineLevel="0" collapsed="false">
      <c r="A15" s="5" t="n">
        <v>11</v>
      </c>
      <c r="B15" s="5" t="s">
        <v>137</v>
      </c>
      <c r="C15" s="5" t="s">
        <v>138</v>
      </c>
      <c r="D15" s="5" t="s">
        <v>124</v>
      </c>
      <c r="E15" s="15" t="n">
        <v>2</v>
      </c>
      <c r="F15" s="12" t="n">
        <v>0</v>
      </c>
      <c r="G15" s="16" t="n">
        <f aca="false">E15*F15</f>
        <v>0</v>
      </c>
    </row>
    <row r="16" customFormat="false" ht="15" hidden="false" customHeight="false" outlineLevel="0" collapsed="false">
      <c r="A16" s="5" t="n">
        <v>12</v>
      </c>
      <c r="B16" s="5" t="s">
        <v>139</v>
      </c>
      <c r="C16" s="5" t="s">
        <v>140</v>
      </c>
      <c r="D16" s="5" t="s">
        <v>124</v>
      </c>
      <c r="E16" s="15" t="n">
        <v>1</v>
      </c>
      <c r="F16" s="12" t="n">
        <v>0</v>
      </c>
      <c r="G16" s="16" t="n">
        <f aca="false">E16*F16</f>
        <v>0</v>
      </c>
    </row>
    <row r="17" customFormat="false" ht="15" hidden="false" customHeight="false" outlineLevel="0" collapsed="false">
      <c r="A17" s="5" t="n">
        <v>13</v>
      </c>
      <c r="B17" s="5" t="s">
        <v>141</v>
      </c>
      <c r="C17" s="5" t="s">
        <v>142</v>
      </c>
      <c r="D17" s="5" t="s">
        <v>23</v>
      </c>
      <c r="E17" s="15" t="n">
        <v>1</v>
      </c>
      <c r="F17" s="12" t="n">
        <v>0</v>
      </c>
      <c r="G17" s="16" t="n">
        <f aca="false">E17*F17</f>
        <v>0</v>
      </c>
    </row>
    <row r="18" customFormat="false" ht="15" hidden="false" customHeight="false" outlineLevel="0" collapsed="false">
      <c r="A18" s="5" t="n">
        <v>14</v>
      </c>
      <c r="B18" s="5" t="s">
        <v>143</v>
      </c>
      <c r="C18" s="5" t="s">
        <v>144</v>
      </c>
      <c r="D18" s="5" t="s">
        <v>145</v>
      </c>
      <c r="E18" s="15" t="n">
        <v>1</v>
      </c>
      <c r="F18" s="12" t="n">
        <v>0</v>
      </c>
      <c r="G18" s="16" t="n">
        <f aca="false">E18*F18</f>
        <v>0</v>
      </c>
    </row>
    <row r="19" customFormat="false" ht="15" hidden="false" customHeight="false" outlineLevel="0" collapsed="false">
      <c r="A19" s="5" t="n">
        <v>15</v>
      </c>
      <c r="B19" s="5" t="s">
        <v>146</v>
      </c>
      <c r="C19" s="5" t="s">
        <v>147</v>
      </c>
      <c r="D19" s="5" t="s">
        <v>145</v>
      </c>
      <c r="E19" s="15" t="n">
        <v>1</v>
      </c>
      <c r="F19" s="12" t="n">
        <v>0</v>
      </c>
      <c r="G19" s="16" t="n">
        <f aca="false">E19*F19</f>
        <v>0</v>
      </c>
    </row>
    <row r="20" customFormat="false" ht="15" hidden="false" customHeight="false" outlineLevel="0" collapsed="false">
      <c r="A20" s="2"/>
      <c r="B20" s="2"/>
      <c r="C20" s="2"/>
      <c r="D20" s="2"/>
      <c r="E20" s="2"/>
      <c r="F20" s="9" t="s">
        <v>148</v>
      </c>
      <c r="G20" s="10" t="n">
        <f aca="false">SUM(G5:G19)</f>
        <v>0</v>
      </c>
    </row>
    <row r="21" customFormat="false" ht="15" hidden="false" customHeight="false" outlineLevel="0" collapsed="false">
      <c r="A21" s="2"/>
      <c r="B21" s="2"/>
      <c r="C21" s="2"/>
      <c r="D21" s="2"/>
      <c r="E21" s="2"/>
      <c r="F21" s="2" t="s">
        <v>149</v>
      </c>
      <c r="G21" s="13" t="n">
        <f aca="false">IFERROR(G20/('String Sizing'!B4*1000),0)</f>
        <v>0</v>
      </c>
    </row>
    <row r="22" customFormat="false" ht="15" hidden="false" customHeight="false" outlineLevel="0" collapsed="false">
      <c r="A22" s="2"/>
      <c r="B22" s="2"/>
      <c r="C22" s="2"/>
      <c r="D22" s="2"/>
      <c r="E22" s="2"/>
      <c r="F22" s="2" t="s">
        <v>150</v>
      </c>
      <c r="G22" s="7" t="n">
        <f aca="false">IFERROR(G20/'Energy Yield'!B19,0)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2026-10-15T18:28:18Z</dcterms:created>
  <dc:creator>openpyxl</dc:creator>
  <dc:description/>
  <dc:language>en-US</dc:language>
  <cp:lastModifiedBy/>
  <dcterms:modified xsi:type="dcterms:W3CDTF">2026-10-16T00:28:21Z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