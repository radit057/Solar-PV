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tring Sizing" sheetId="2" state="visible" r:id="rId2"/>
    <sheet xmlns:r="http://schemas.openxmlformats.org/officeDocument/2006/relationships" name="Energy Yield" sheetId="3" state="visible" r:id="rId3"/>
    <sheet xmlns:r="http://schemas.openxmlformats.org/officeDocument/2006/relationships" name="EV Charging" sheetId="4" state="visible" r:id="rId4"/>
    <sheet xmlns:r="http://schemas.openxmlformats.org/officeDocument/2006/relationships" name="BOQ" sheetId="5" state="visible" r:id="rId5"/>
    <sheet xmlns:r="http://schemas.openxmlformats.org/officeDocument/2006/relationships" name="Simula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5" fontId="3" fillId="3" borderId="0" pivotButton="0" quotePrefix="0" xfId="0"/>
    <xf numFmtId="0" fontId="3" fillId="3" borderId="1" pivotButton="0" quotePrefix="0" xfId="0"/>
    <xf numFmtId="3" fontId="5" fillId="0" borderId="1" pivotButton="0" quotePrefix="0" xfId="0"/>
    <xf numFmtId="2" fontId="5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energy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'Energy Yield'!F4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'Energy Yield'!$A$5:$A$16</f>
            </numRef>
          </cat>
          <val>
            <numRef>
              <f>'Energy Yield'!$F$5:$F$16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75" customWidth="1" min="4" max="4"/>
  </cols>
  <sheetData>
    <row r="1">
      <c r="A1" s="1" t="inlineStr">
        <is>
          <t>29.7 kWp Solar Carport with EV Charging - AUST Campus, Tejgaon</t>
        </is>
      </c>
      <c r="B1" s="2" t="n"/>
      <c r="C1" s="2" t="n"/>
      <c r="D1" s="2" t="n"/>
    </row>
    <row r="2">
      <c r="A2" s="2" t="inlineStr">
        <is>
          <t>Legend: blue on yellow = design input; black = calculated value.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 / source</t>
        </is>
      </c>
    </row>
    <row r="5">
      <c r="A5" s="2" t="inlineStr">
        <is>
          <t>Module rated power (Pmax)</t>
        </is>
      </c>
      <c r="B5" s="4" t="n">
        <v>550</v>
      </c>
      <c r="C5" s="2" t="inlineStr">
        <is>
          <t>Wp</t>
        </is>
      </c>
      <c r="D5" s="2" t="inlineStr">
        <is>
          <t>Generic 550 Wp mono half-cell; replace with chosen datasheet</t>
        </is>
      </c>
    </row>
    <row r="6">
      <c r="A6" s="2" t="inlineStr">
        <is>
          <t>Module Voc (STC)</t>
        </is>
      </c>
      <c r="B6" s="4" t="n">
        <v>49.6</v>
      </c>
      <c r="C6" s="2" t="inlineStr">
        <is>
          <t>V</t>
        </is>
      </c>
      <c r="D6" s="2" t="inlineStr">
        <is>
          <t>Datasheet</t>
        </is>
      </c>
    </row>
    <row r="7">
      <c r="A7" s="2" t="inlineStr">
        <is>
          <t>Module Vmp (STC)</t>
        </is>
      </c>
      <c r="B7" s="4" t="n">
        <v>41.9</v>
      </c>
      <c r="C7" s="2" t="inlineStr">
        <is>
          <t>V</t>
        </is>
      </c>
      <c r="D7" s="2" t="inlineStr">
        <is>
          <t>Datasheet</t>
        </is>
      </c>
    </row>
    <row r="8">
      <c r="A8" s="2" t="inlineStr">
        <is>
          <t>Module Isc (STC)</t>
        </is>
      </c>
      <c r="B8" s="4" t="n">
        <v>14</v>
      </c>
      <c r="C8" s="2" t="inlineStr">
        <is>
          <t>A</t>
        </is>
      </c>
      <c r="D8" s="2" t="inlineStr">
        <is>
          <t>Datasheet</t>
        </is>
      </c>
    </row>
    <row r="9">
      <c r="A9" s="2" t="inlineStr">
        <is>
          <t>Module Imp (STC)</t>
        </is>
      </c>
      <c r="B9" s="4" t="n">
        <v>13.13</v>
      </c>
      <c r="C9" s="2" t="inlineStr">
        <is>
          <t>A</t>
        </is>
      </c>
      <c r="D9" s="2" t="inlineStr">
        <is>
          <t>Datasheet</t>
        </is>
      </c>
    </row>
    <row r="10">
      <c r="A10" s="2" t="inlineStr">
        <is>
          <t>Temp. coefficient of Voc</t>
        </is>
      </c>
      <c r="B10" s="4" t="n">
        <v>-0.27</v>
      </c>
      <c r="C10" s="2" t="inlineStr">
        <is>
          <t>%/degC</t>
        </is>
      </c>
      <c r="D10" s="2" t="inlineStr">
        <is>
          <t>Datasheet</t>
        </is>
      </c>
    </row>
    <row r="11">
      <c r="A11" s="2" t="inlineStr">
        <is>
          <t>Temp. coefficient of Pmax</t>
        </is>
      </c>
      <c r="B11" s="4" t="n">
        <v>-0.35</v>
      </c>
      <c r="C11" s="2" t="inlineStr">
        <is>
          <t>%/degC</t>
        </is>
      </c>
      <c r="D11" s="2" t="inlineStr">
        <is>
          <t>Datasheet</t>
        </is>
      </c>
    </row>
    <row r="12">
      <c r="A12" s="2" t="inlineStr">
        <is>
          <t>Number of modules</t>
        </is>
      </c>
      <c r="B12" s="4" t="n">
        <v>54</v>
      </c>
      <c r="C12" s="2" t="inlineStr">
        <is>
          <t>nos</t>
        </is>
      </c>
      <c r="D12" s="2" t="inlineStr">
        <is>
          <t>Two portrait rows of 27 modules over 12 bays (2.6 m each)</t>
        </is>
      </c>
    </row>
    <row r="13">
      <c r="A13" s="2" t="inlineStr">
        <is>
          <t>Modules per string</t>
        </is>
      </c>
      <c r="B13" s="4" t="n">
        <v>18</v>
      </c>
      <c r="C13" s="2" t="inlineStr">
        <is>
          <t>nos</t>
        </is>
      </c>
      <c r="D13" s="2" t="inlineStr">
        <is>
          <t>Design choice</t>
        </is>
      </c>
    </row>
    <row r="14">
      <c r="A14" s="2" t="inlineStr">
        <is>
          <t>Number of strings</t>
        </is>
      </c>
      <c r="B14" s="4" t="n">
        <v>3</v>
      </c>
      <c r="C14" s="2" t="inlineStr">
        <is>
          <t>nos</t>
        </is>
      </c>
      <c r="D14" s="2" t="inlineStr">
        <is>
          <t>MPPT1: strings 1+2, MPPT2: string 3</t>
        </is>
      </c>
    </row>
    <row r="15">
      <c r="A15" s="2" t="inlineStr">
        <is>
          <t>Inverter / controller AC rating</t>
        </is>
      </c>
      <c r="B15" s="4" t="n">
        <v>25</v>
      </c>
      <c r="C15" s="2" t="inlineStr">
        <is>
          <t>kW</t>
        </is>
      </c>
      <c r="D15" s="2" t="inlineStr">
        <is>
          <t>25 kW three-phase string inverter, 2 MPPT</t>
        </is>
      </c>
    </row>
    <row r="16">
      <c r="A16" s="2" t="inlineStr">
        <is>
          <t>Number of inverters</t>
        </is>
      </c>
      <c r="B16" s="4" t="n">
        <v>1</v>
      </c>
      <c r="C16" s="2" t="inlineStr">
        <is>
          <t>nos</t>
        </is>
      </c>
      <c r="D16" s="2" t="inlineStr">
        <is>
          <t>-</t>
        </is>
      </c>
    </row>
    <row r="17">
      <c r="A17" s="2" t="inlineStr">
        <is>
          <t>Inverter max DC input voltage</t>
        </is>
      </c>
      <c r="B17" s="4" t="n">
        <v>1100</v>
      </c>
      <c r="C17" s="2" t="inlineStr">
        <is>
          <t>V</t>
        </is>
      </c>
      <c r="D17" s="2" t="inlineStr">
        <is>
          <t>Inverter datasheet</t>
        </is>
      </c>
    </row>
    <row r="18">
      <c r="A18" s="2" t="inlineStr">
        <is>
          <t>Inverter MPPT min voltage</t>
        </is>
      </c>
      <c r="B18" s="4" t="n">
        <v>200</v>
      </c>
      <c r="C18" s="2" t="inlineStr">
        <is>
          <t>V</t>
        </is>
      </c>
      <c r="D18" s="2" t="inlineStr">
        <is>
          <t>Inverter datasheet</t>
        </is>
      </c>
    </row>
    <row r="19">
      <c r="A19" s="2" t="inlineStr">
        <is>
          <t>Inverter MPPT max voltage</t>
        </is>
      </c>
      <c r="B19" s="4" t="n">
        <v>1000</v>
      </c>
      <c r="C19" s="2" t="inlineStr">
        <is>
          <t>V</t>
        </is>
      </c>
      <c r="D19" s="2" t="inlineStr">
        <is>
          <t>Inverter datasheet</t>
        </is>
      </c>
    </row>
    <row r="20">
      <c r="A20" s="2" t="inlineStr">
        <is>
          <t>Inverter max input current per MPPT</t>
        </is>
      </c>
      <c r="B20" s="4" t="n">
        <v>32</v>
      </c>
      <c r="C20" s="2" t="inlineStr">
        <is>
          <t>A</t>
        </is>
      </c>
      <c r="D20" s="2" t="inlineStr">
        <is>
          <t>Inverter datasheet</t>
        </is>
      </c>
    </row>
    <row r="21">
      <c r="A21" s="2" t="inlineStr">
        <is>
          <t>Strings per MPPT (max)</t>
        </is>
      </c>
      <c r="B21" s="4" t="n">
        <v>2</v>
      </c>
      <c r="C21" s="2" t="inlineStr">
        <is>
          <t>nos</t>
        </is>
      </c>
      <c r="D21" s="2" t="inlineStr">
        <is>
          <t>Design choice</t>
        </is>
      </c>
    </row>
    <row r="22">
      <c r="A22" s="2" t="inlineStr">
        <is>
          <t>Minimum ambient temperature</t>
        </is>
      </c>
      <c r="B22" s="4" t="n">
        <v>8</v>
      </c>
      <c r="C22" s="2" t="inlineStr">
        <is>
          <t>degC</t>
        </is>
      </c>
      <c r="D22" s="2" t="inlineStr">
        <is>
          <t>Approx. record winter low at site</t>
        </is>
      </c>
    </row>
    <row r="23">
      <c r="A23" s="2" t="inlineStr">
        <is>
          <t>Maximum cell temperature</t>
        </is>
      </c>
      <c r="B23" s="4" t="n">
        <v>65</v>
      </c>
      <c r="C23" s="2" t="inlineStr">
        <is>
          <t>degC</t>
        </is>
      </c>
      <c r="D23" s="2" t="inlineStr">
        <is>
          <t>Open canopy: well ventilated</t>
        </is>
      </c>
    </row>
    <row r="24">
      <c r="A24" s="2" t="inlineStr">
        <is>
          <t>Tilt angle</t>
        </is>
      </c>
      <c r="B24" s="4" t="n">
        <v>10</v>
      </c>
      <c r="C24" s="2" t="inlineStr">
        <is>
          <t>deg</t>
        </is>
      </c>
      <c r="D24" s="2" t="inlineStr">
        <is>
          <t>10 deg canopy: rain run-off, low wind load, enough clear height</t>
        </is>
      </c>
    </row>
    <row r="25">
      <c r="A25" s="2" t="inlineStr">
        <is>
          <t>Performance ratio (PR)</t>
        </is>
      </c>
      <c r="B25" s="4" t="n">
        <v>0.8</v>
      </c>
      <c r="C25" s="2" t="inlineStr">
        <is>
          <t>-</t>
        </is>
      </c>
      <c r="D25" s="2" t="inlineStr">
        <is>
          <t>Assumed for hand estimate; verify with PVsyst</t>
        </is>
      </c>
    </row>
    <row r="26">
      <c r="A26" s="2" t="inlineStr">
        <is>
          <t>Electricity tariff (avoided cost)</t>
        </is>
      </c>
      <c r="B26" s="4" t="n">
        <v>10</v>
      </c>
      <c r="C26" s="2" t="inlineStr">
        <is>
          <t>BDT/kWh</t>
        </is>
      </c>
      <c r="D26" s="2" t="inlineStr">
        <is>
          <t>Placeholder: use current tariff for this customer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String sizing and inverter compatibility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Check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Limit</t>
        </is>
      </c>
      <c r="E3" s="3" t="inlineStr">
        <is>
          <t>Result</t>
        </is>
      </c>
    </row>
    <row r="4">
      <c r="A4" s="5" t="inlineStr">
        <is>
          <t>DC array capacity</t>
        </is>
      </c>
      <c r="B4" s="6">
        <f>Inputs!$B$12*Inputs!$B$5/1000</f>
        <v/>
      </c>
      <c r="C4" s="5" t="inlineStr">
        <is>
          <t>kWp</t>
        </is>
      </c>
      <c r="D4" s="5" t="inlineStr"/>
      <c r="E4" s="5" t="inlineStr"/>
    </row>
    <row r="5">
      <c r="A5" s="5" t="inlineStr">
        <is>
          <t>DC/AC ratio</t>
        </is>
      </c>
      <c r="B5" s="6">
        <f>B4/(Inputs!$B$15*Inputs!$B$16)</f>
        <v/>
      </c>
      <c r="C5" s="5" t="inlineStr">
        <is>
          <t>-</t>
        </is>
      </c>
      <c r="D5" s="5" t="inlineStr">
        <is>
          <t>1.0 - 1.3</t>
        </is>
      </c>
      <c r="E5" s="5">
        <f>IF(AND(B5&gt;=1.0,B5&lt;=1.3),"OK","CHECK")</f>
        <v/>
      </c>
    </row>
    <row r="6">
      <c r="A6" s="5" t="inlineStr">
        <is>
          <t>Voc at min temperature (per module)</t>
        </is>
      </c>
      <c r="B6" s="6">
        <f>Inputs!$B$6*(1+Inputs!$B$10/100*(Inputs!$B$22-25))</f>
        <v/>
      </c>
      <c r="C6" s="5" t="inlineStr">
        <is>
          <t>V</t>
        </is>
      </c>
      <c r="D6" s="5" t="inlineStr"/>
      <c r="E6" s="5" t="inlineStr"/>
    </row>
    <row r="7">
      <c r="A7" s="5" t="inlineStr">
        <is>
          <t>String Voc at min temperature</t>
        </is>
      </c>
      <c r="B7" s="6">
        <f>B6*Inputs!$B$13</f>
        <v/>
      </c>
      <c r="C7" s="5" t="inlineStr">
        <is>
          <t>V</t>
        </is>
      </c>
      <c r="D7" s="5">
        <f>Inputs!$B$17</f>
        <v/>
      </c>
      <c r="E7" s="5">
        <f>IF(B7&lt;D7,"OK","FAIL")</f>
        <v/>
      </c>
    </row>
    <row r="8">
      <c r="A8" s="5" t="inlineStr">
        <is>
          <t>Vmp at max cell temperature (per module)</t>
        </is>
      </c>
      <c r="B8" s="6">
        <f>Inputs!$B$7*(1+Inputs!$B$11/100*(Inputs!$B$23-25))</f>
        <v/>
      </c>
      <c r="C8" s="5" t="inlineStr">
        <is>
          <t>V</t>
        </is>
      </c>
      <c r="D8" s="5" t="inlineStr"/>
      <c r="E8" s="5" t="inlineStr"/>
    </row>
    <row r="9">
      <c r="A9" s="5" t="inlineStr">
        <is>
          <t>String Vmp at max cell temperature</t>
        </is>
      </c>
      <c r="B9" s="6">
        <f>B8*Inputs!$B$13</f>
        <v/>
      </c>
      <c r="C9" s="5" t="inlineStr">
        <is>
          <t>V</t>
        </is>
      </c>
      <c r="D9" s="5">
        <f>Inputs!$B$18</f>
        <v/>
      </c>
      <c r="E9" s="5">
        <f>IF(B9&gt;D9,"OK","FAIL")</f>
        <v/>
      </c>
    </row>
    <row r="10">
      <c r="A10" s="5" t="inlineStr">
        <is>
          <t>String Vmp at STC</t>
        </is>
      </c>
      <c r="B10" s="6">
        <f>Inputs!$B$7*Inputs!$B$13</f>
        <v/>
      </c>
      <c r="C10" s="5" t="inlineStr">
        <is>
          <t>V</t>
        </is>
      </c>
      <c r="D10" s="5">
        <f>Inputs!$B$19</f>
        <v/>
      </c>
      <c r="E10" s="5">
        <f>IF(B10&lt;D10,"OK","FAIL")</f>
        <v/>
      </c>
    </row>
    <row r="11">
      <c r="A11" s="5" t="inlineStr">
        <is>
          <t>MPPT input current (strings per MPPT x Imp)</t>
        </is>
      </c>
      <c r="B11" s="6">
        <f>Inputs!$B$21*Inputs!$B$9</f>
        <v/>
      </c>
      <c r="C11" s="5" t="inlineStr">
        <is>
          <t>A</t>
        </is>
      </c>
      <c r="D11" s="5">
        <f>Inputs!$B$20</f>
        <v/>
      </c>
      <c r="E11" s="5">
        <f>IF(B11&lt;=D11,"OK","FAIL")</f>
        <v/>
      </c>
    </row>
    <row r="12">
      <c r="A12" s="5" t="inlineStr">
        <is>
          <t>Total modules check</t>
        </is>
      </c>
      <c r="B12" s="6">
        <f>Inputs!$B$13*Inputs!$B$14</f>
        <v/>
      </c>
      <c r="C12" s="5" t="inlineStr">
        <is>
          <t>nos</t>
        </is>
      </c>
      <c r="D12" s="5">
        <f>Inputs!$B$12</f>
        <v/>
      </c>
      <c r="E12" s="5">
        <f>IF(B12=D12,"OK","MISMATCH")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1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Monthly energy estimate (hand calculation - verify with PVsyst)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E = kWp x POA x PR. GHI: Meteonorm monthly values for Dhaka (PVsyst). Tilt factor = 1 + (F23 - 1) x tilt/23, an approximation scaled from the PVsyst 23 deg transposition. Replace with site data for best accuracy.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Month</t>
        </is>
      </c>
      <c r="B4" s="3" t="inlineStr">
        <is>
          <t>GHI (kWh/m2)</t>
        </is>
      </c>
      <c r="C4" s="3" t="inlineStr">
        <is>
          <t>F23 (PVsyst)</t>
        </is>
      </c>
      <c r="D4" s="3" t="inlineStr">
        <is>
          <t>Tilt factor</t>
        </is>
      </c>
      <c r="E4" s="3" t="inlineStr">
        <is>
          <t>POA (kWh/m2)</t>
        </is>
      </c>
      <c r="F4" s="3" t="inlineStr">
        <is>
          <t>Energy (kWh)</t>
        </is>
      </c>
      <c r="G4" s="3" t="inlineStr">
        <is>
          <t>kWh/kWp</t>
        </is>
      </c>
    </row>
    <row r="5">
      <c r="A5" s="2" t="inlineStr">
        <is>
          <t>Jan</t>
        </is>
      </c>
      <c r="B5" s="4" t="n">
        <v>121.1</v>
      </c>
      <c r="C5" s="4" t="n">
        <v>1.277</v>
      </c>
      <c r="D5" s="7">
        <f>1+(C5-1)*Inputs!$B$24/23</f>
        <v/>
      </c>
      <c r="E5" s="8">
        <f>B5*D5</f>
        <v/>
      </c>
      <c r="F5" s="9">
        <f>E5*'String Sizing'!$B$4*Inputs!$B$25</f>
        <v/>
      </c>
      <c r="G5" s="8">
        <f>F5/'String Sizing'!$B$4</f>
        <v/>
      </c>
    </row>
    <row r="6">
      <c r="A6" s="2" t="inlineStr">
        <is>
          <t>Feb</t>
        </is>
      </c>
      <c r="B6" s="4" t="n">
        <v>130.5</v>
      </c>
      <c r="C6" s="4" t="n">
        <v>1.194</v>
      </c>
      <c r="D6" s="7">
        <f>1+(C6-1)*Inputs!$B$24/23</f>
        <v/>
      </c>
      <c r="E6" s="8">
        <f>B6*D6</f>
        <v/>
      </c>
      <c r="F6" s="9">
        <f>E6*'String Sizing'!$B$4*Inputs!$B$25</f>
        <v/>
      </c>
      <c r="G6" s="8">
        <f>F6/'String Sizing'!$B$4</f>
        <v/>
      </c>
    </row>
    <row r="7">
      <c r="A7" s="2" t="inlineStr">
        <is>
          <t>Mar</t>
        </is>
      </c>
      <c r="B7" s="4" t="n">
        <v>167.3</v>
      </c>
      <c r="C7" s="4" t="n">
        <v>1.095</v>
      </c>
      <c r="D7" s="7">
        <f>1+(C7-1)*Inputs!$B$24/23</f>
        <v/>
      </c>
      <c r="E7" s="8">
        <f>B7*D7</f>
        <v/>
      </c>
      <c r="F7" s="9">
        <f>E7*'String Sizing'!$B$4*Inputs!$B$25</f>
        <v/>
      </c>
      <c r="G7" s="8">
        <f>F7/'String Sizing'!$B$4</f>
        <v/>
      </c>
    </row>
    <row r="8">
      <c r="A8" s="2" t="inlineStr">
        <is>
          <t>Apr</t>
        </is>
      </c>
      <c r="B8" s="4" t="n">
        <v>158.6</v>
      </c>
      <c r="C8" s="4" t="n">
        <v>0.996</v>
      </c>
      <c r="D8" s="7">
        <f>1+(C8-1)*Inputs!$B$24/23</f>
        <v/>
      </c>
      <c r="E8" s="8">
        <f>B8*D8</f>
        <v/>
      </c>
      <c r="F8" s="9">
        <f>E8*'String Sizing'!$B$4*Inputs!$B$25</f>
        <v/>
      </c>
      <c r="G8" s="8">
        <f>F8/'String Sizing'!$B$4</f>
        <v/>
      </c>
    </row>
    <row r="9">
      <c r="A9" s="2" t="inlineStr">
        <is>
          <t>May</t>
        </is>
      </c>
      <c r="B9" s="4" t="n">
        <v>152.1</v>
      </c>
      <c r="C9" s="4" t="n">
        <v>0.948</v>
      </c>
      <c r="D9" s="7">
        <f>1+(C9-1)*Inputs!$B$24/23</f>
        <v/>
      </c>
      <c r="E9" s="8">
        <f>B9*D9</f>
        <v/>
      </c>
      <c r="F9" s="9">
        <f>E9*'String Sizing'!$B$4*Inputs!$B$25</f>
        <v/>
      </c>
      <c r="G9" s="8">
        <f>F9/'String Sizing'!$B$4</f>
        <v/>
      </c>
    </row>
    <row r="10">
      <c r="A10" s="2" t="inlineStr">
        <is>
          <t>Jun</t>
        </is>
      </c>
      <c r="B10" s="4" t="n">
        <v>120.4</v>
      </c>
      <c r="C10" s="4" t="n">
        <v>0.924</v>
      </c>
      <c r="D10" s="7">
        <f>1+(C10-1)*Inputs!$B$24/23</f>
        <v/>
      </c>
      <c r="E10" s="8">
        <f>B10*D10</f>
        <v/>
      </c>
      <c r="F10" s="9">
        <f>E10*'String Sizing'!$B$4*Inputs!$B$25</f>
        <v/>
      </c>
      <c r="G10" s="8">
        <f>F10/'String Sizing'!$B$4</f>
        <v/>
      </c>
    </row>
    <row r="11">
      <c r="A11" s="2" t="inlineStr">
        <is>
          <t>Jul</t>
        </is>
      </c>
      <c r="B11" s="4" t="n">
        <v>117.3</v>
      </c>
      <c r="C11" s="4" t="n">
        <v>0.9320000000000001</v>
      </c>
      <c r="D11" s="7">
        <f>1+(C11-1)*Inputs!$B$24/23</f>
        <v/>
      </c>
      <c r="E11" s="8">
        <f>B11*D11</f>
        <v/>
      </c>
      <c r="F11" s="9">
        <f>E11*'String Sizing'!$B$4*Inputs!$B$25</f>
        <v/>
      </c>
      <c r="G11" s="8">
        <f>F11/'String Sizing'!$B$4</f>
        <v/>
      </c>
    </row>
    <row r="12">
      <c r="A12" s="2" t="inlineStr">
        <is>
          <t>Aug</t>
        </is>
      </c>
      <c r="B12" s="4" t="n">
        <v>124.8</v>
      </c>
      <c r="C12" s="4" t="n">
        <v>0.971</v>
      </c>
      <c r="D12" s="7">
        <f>1+(C12-1)*Inputs!$B$24/23</f>
        <v/>
      </c>
      <c r="E12" s="8">
        <f>B12*D12</f>
        <v/>
      </c>
      <c r="F12" s="9">
        <f>E12*'String Sizing'!$B$4*Inputs!$B$25</f>
        <v/>
      </c>
      <c r="G12" s="8">
        <f>F12/'String Sizing'!$B$4</f>
        <v/>
      </c>
    </row>
    <row r="13">
      <c r="A13" s="2" t="inlineStr">
        <is>
          <t>Sep</t>
        </is>
      </c>
      <c r="B13" s="4" t="n">
        <v>118.7</v>
      </c>
      <c r="C13" s="4" t="n">
        <v>1.029</v>
      </c>
      <c r="D13" s="7">
        <f>1+(C13-1)*Inputs!$B$24/23</f>
        <v/>
      </c>
      <c r="E13" s="8">
        <f>B13*D13</f>
        <v/>
      </c>
      <c r="F13" s="9">
        <f>E13*'String Sizing'!$B$4*Inputs!$B$25</f>
        <v/>
      </c>
      <c r="G13" s="8">
        <f>F13/'String Sizing'!$B$4</f>
        <v/>
      </c>
    </row>
    <row r="14">
      <c r="A14" s="2" t="inlineStr">
        <is>
          <t>Oct</t>
        </is>
      </c>
      <c r="B14" s="4" t="n">
        <v>122.8</v>
      </c>
      <c r="C14" s="4" t="n">
        <v>1.121</v>
      </c>
      <c r="D14" s="7">
        <f>1+(C14-1)*Inputs!$B$24/23</f>
        <v/>
      </c>
      <c r="E14" s="8">
        <f>B14*D14</f>
        <v/>
      </c>
      <c r="F14" s="9">
        <f>E14*'String Sizing'!$B$4*Inputs!$B$25</f>
        <v/>
      </c>
      <c r="G14" s="8">
        <f>F14/'String Sizing'!$B$4</f>
        <v/>
      </c>
    </row>
    <row r="15">
      <c r="A15" s="2" t="inlineStr">
        <is>
          <t>Nov</t>
        </is>
      </c>
      <c r="B15" s="4" t="n">
        <v>114.3</v>
      </c>
      <c r="C15" s="4" t="n">
        <v>1.243</v>
      </c>
      <c r="D15" s="7">
        <f>1+(C15-1)*Inputs!$B$24/23</f>
        <v/>
      </c>
      <c r="E15" s="8">
        <f>B15*D15</f>
        <v/>
      </c>
      <c r="F15" s="9">
        <f>E15*'String Sizing'!$B$4*Inputs!$B$25</f>
        <v/>
      </c>
      <c r="G15" s="8">
        <f>F15/'String Sizing'!$B$4</f>
        <v/>
      </c>
    </row>
    <row r="16">
      <c r="A16" s="2" t="inlineStr">
        <is>
          <t>Dec</t>
        </is>
      </c>
      <c r="B16" s="4" t="n">
        <v>108.5</v>
      </c>
      <c r="C16" s="4" t="n">
        <v>1.29</v>
      </c>
      <c r="D16" s="7">
        <f>1+(C16-1)*Inputs!$B$24/23</f>
        <v/>
      </c>
      <c r="E16" s="8">
        <f>B16*D16</f>
        <v/>
      </c>
      <c r="F16" s="9">
        <f>E16*'String Sizing'!$B$4*Inputs!$B$25</f>
        <v/>
      </c>
      <c r="G16" s="8">
        <f>F16/'String Sizing'!$B$4</f>
        <v/>
      </c>
    </row>
    <row r="17">
      <c r="A17" s="10" t="inlineStr">
        <is>
          <t>Annual</t>
        </is>
      </c>
      <c r="B17" s="11">
        <f>SUM(B5:B16)</f>
        <v/>
      </c>
      <c r="C17" s="2" t="n"/>
      <c r="D17" s="2" t="n"/>
      <c r="E17" s="11">
        <f>SUM(E5:E16)</f>
        <v/>
      </c>
      <c r="F17" s="11">
        <f>SUM(F5:F16)</f>
        <v/>
      </c>
      <c r="G17" s="11">
        <f>SUM(G5:G16)</f>
        <v/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Average energy per day (kWh)</t>
        </is>
      </c>
      <c r="B19" s="8">
        <f>F17/365</f>
        <v/>
      </c>
      <c r="C19" s="2" t="n"/>
      <c r="D19" s="2" t="n"/>
      <c r="E19" s="2" t="n"/>
      <c r="F19" s="2" t="n"/>
      <c r="G19" s="2" t="n"/>
    </row>
    <row r="20">
      <c r="A20" s="2" t="inlineStr">
        <is>
          <t>Annual value of energy (BDT)</t>
        </is>
      </c>
      <c r="B20" s="9">
        <f>F17*Inputs!$B$26</f>
        <v/>
      </c>
      <c r="C20" s="2" t="n"/>
      <c r="D20" s="2" t="n"/>
      <c r="E20" s="2" t="n"/>
      <c r="F20" s="2" t="n"/>
      <c r="G20" s="2" t="n"/>
    </row>
    <row r="21">
      <c r="A21" s="2" t="inlineStr">
        <is>
          <t>CO2 avoided (t/yr, 0.67 kg/kWh assumed)</t>
        </is>
      </c>
      <c r="B21" s="8">
        <f>F17*0.67/1000</f>
        <v/>
      </c>
      <c r="C21" s="2" t="n"/>
      <c r="D21" s="2" t="n"/>
      <c r="E21" s="2" t="n"/>
      <c r="F21" s="2" t="n"/>
      <c r="G2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How many EVs can the carport charge?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</t>
        </is>
      </c>
    </row>
    <row r="4">
      <c r="A4" s="2" t="inlineStr">
        <is>
          <t>Average PV energy per day</t>
        </is>
      </c>
      <c r="B4" s="8">
        <f>'Energy Yield'!B19</f>
        <v/>
      </c>
      <c r="C4" s="2" t="inlineStr">
        <is>
          <t>kWh/day</t>
        </is>
      </c>
      <c r="D4" s="2" t="inlineStr">
        <is>
          <t>From Energy Yield sheet</t>
        </is>
      </c>
    </row>
    <row r="5">
      <c r="A5" s="2" t="inlineStr">
        <is>
          <t>Energy delivered per EV charging session</t>
        </is>
      </c>
      <c r="B5" s="12" t="n">
        <v>20</v>
      </c>
      <c r="C5" s="2" t="inlineStr">
        <is>
          <t>kWh</t>
        </is>
      </c>
      <c r="D5" s="2" t="inlineStr">
        <is>
          <t>Input: e.g. 40 kWh car charged 20%-&gt;70%</t>
        </is>
      </c>
    </row>
    <row r="6">
      <c r="A6" s="2" t="inlineStr">
        <is>
          <t>Charger efficiency</t>
        </is>
      </c>
      <c r="B6" s="12" t="n">
        <v>0.93</v>
      </c>
      <c r="C6" s="2" t="inlineStr">
        <is>
          <t>-</t>
        </is>
      </c>
      <c r="D6" s="2" t="inlineStr">
        <is>
          <t>Input</t>
        </is>
      </c>
    </row>
    <row r="7">
      <c r="A7" s="2" t="inlineStr">
        <is>
          <t>EV sessions fully covered by solar per day</t>
        </is>
      </c>
      <c r="B7" s="8">
        <f>B4*B6/B5</f>
        <v/>
      </c>
      <c r="C7" s="2" t="inlineStr">
        <is>
          <t>sessions</t>
        </is>
      </c>
      <c r="D7" s="2" t="inlineStr"/>
    </row>
    <row r="8">
      <c r="A8" s="2" t="inlineStr">
        <is>
          <t>EV energy use</t>
        </is>
      </c>
      <c r="B8" s="12" t="n">
        <v>0.16</v>
      </c>
      <c r="C8" s="2" t="inlineStr">
        <is>
          <t>kWh/km</t>
        </is>
      </c>
      <c r="D8" s="2" t="inlineStr">
        <is>
          <t>Input: typical small EV</t>
        </is>
      </c>
    </row>
    <row r="9">
      <c r="A9" s="2" t="inlineStr">
        <is>
          <t>Solar driving range added per day</t>
        </is>
      </c>
      <c r="B9" s="8">
        <f>B4*B6/B8</f>
        <v/>
      </c>
      <c r="C9" s="2" t="inlineStr">
        <is>
          <t>km/day</t>
        </is>
      </c>
      <c r="D9" s="2" t="inlineStr"/>
    </row>
    <row r="10">
      <c r="A10" s="2" t="inlineStr">
        <is>
          <t>Installed charger capacity</t>
        </is>
      </c>
      <c r="B10" s="8" t="n">
        <v>44</v>
      </c>
      <c r="C10" s="2" t="inlineStr">
        <is>
          <t>kW</t>
        </is>
      </c>
      <c r="D10" s="2" t="inlineStr">
        <is>
          <t>2 x 22 kW AC chargers</t>
        </is>
      </c>
    </row>
    <row r="11">
      <c r="A11" s="2" t="inlineStr">
        <is>
          <t>PV inverter AC rating</t>
        </is>
      </c>
      <c r="B11" s="8">
        <f>Inputs!$B$15</f>
        <v/>
      </c>
      <c r="C11" s="2" t="inlineStr">
        <is>
          <t>kW</t>
        </is>
      </c>
      <c r="D11" s="2" t="inlineStr"/>
    </row>
    <row r="12">
      <c r="A12" s="2" t="inlineStr">
        <is>
          <t>Peak grid import if both chargers run at noon</t>
        </is>
      </c>
      <c r="B12" s="8">
        <f>MAX(0,B10-B11*0.85)</f>
        <v/>
      </c>
      <c r="C12" s="2" t="inlineStr">
        <is>
          <t>kW</t>
        </is>
      </c>
      <c r="D12" s="2" t="inlineStr">
        <is>
          <t>Assumes PV at 85% of inverter rating</t>
        </is>
      </c>
    </row>
    <row r="13">
      <c r="A13" s="2" t="inlineStr">
        <is>
          <t>Note</t>
        </is>
      </c>
      <c r="B13" s="8" t="inlineStr">
        <is>
          <t>Grid supplies the gap; smart scheduling (my research) shifts charging into solar hours</t>
        </is>
      </c>
      <c r="C13" s="2" t="inlineStr"/>
      <c r="D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7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Bill of Quantities - 29.7 kWp solar carport + EV charging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Unit rates left blank on purpose: fill from current vendor quotes (yellow cells); totals then calculate.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SL</t>
        </is>
      </c>
      <c r="B4" s="3" t="inlineStr">
        <is>
          <t>Item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Unit rate (BDT)</t>
        </is>
      </c>
      <c r="G4" s="3" t="inlineStr">
        <is>
          <t>Amount (BDT)</t>
        </is>
      </c>
    </row>
    <row r="5">
      <c r="A5" s="5" t="n">
        <v>1</v>
      </c>
      <c r="B5" s="5" t="inlineStr">
        <is>
          <t>PV module</t>
        </is>
      </c>
      <c r="C5" s="5" t="inlineStr">
        <is>
          <t>550 Wp mono half-cell, IEC 61215/61730</t>
        </is>
      </c>
      <c r="D5" s="5" t="inlineStr">
        <is>
          <t>nos</t>
        </is>
      </c>
      <c r="E5" s="5" t="n">
        <v>54</v>
      </c>
      <c r="F5" s="13" t="n"/>
      <c r="G5" s="14">
        <f>E5*F5</f>
        <v/>
      </c>
    </row>
    <row r="6">
      <c r="A6" s="5" t="n">
        <v>2</v>
      </c>
      <c r="B6" s="5" t="inlineStr">
        <is>
          <t>String inverter</t>
        </is>
      </c>
      <c r="C6" s="5" t="inlineStr">
        <is>
          <t>25 kW, 3-phase, 2 MPPT, IEC 62109/61727</t>
        </is>
      </c>
      <c r="D6" s="5" t="inlineStr">
        <is>
          <t>nos</t>
        </is>
      </c>
      <c r="E6" s="5" t="n">
        <v>1</v>
      </c>
      <c r="F6" s="13" t="n"/>
      <c r="G6" s="14">
        <f>E6*F6</f>
        <v/>
      </c>
    </row>
    <row r="7">
      <c r="A7" s="5" t="n">
        <v>3</v>
      </c>
      <c r="B7" s="5" t="inlineStr">
        <is>
          <t>Carport steel structure</t>
        </is>
      </c>
      <c r="C7" s="5" t="inlineStr">
        <is>
          <t>HDG steel, single slope 10 deg, 12 bays, 2.7 m clear height</t>
        </is>
      </c>
      <c r="D7" s="5" t="inlineStr">
        <is>
          <t>lot</t>
        </is>
      </c>
      <c r="E7" s="5" t="n">
        <v>1</v>
      </c>
      <c r="F7" s="13" t="n"/>
      <c r="G7" s="14">
        <f>E7*F7</f>
        <v/>
      </c>
    </row>
    <row r="8">
      <c r="A8" s="5" t="n">
        <v>4</v>
      </c>
      <c r="B8" s="5" t="inlineStr">
        <is>
          <t>Column foundations</t>
        </is>
      </c>
      <c r="C8" s="5" t="inlineStr">
        <is>
          <t>RCC pad footing per structural design</t>
        </is>
      </c>
      <c r="D8" s="5" t="inlineStr">
        <is>
          <t>nos</t>
        </is>
      </c>
      <c r="E8" s="5" t="n">
        <v>10</v>
      </c>
      <c r="F8" s="13" t="n"/>
      <c r="G8" s="14">
        <f>E8*F8</f>
        <v/>
      </c>
    </row>
    <row r="9">
      <c r="A9" s="5" t="n">
        <v>5</v>
      </c>
      <c r="B9" s="5" t="inlineStr">
        <is>
          <t>DC combiner box</t>
        </is>
      </c>
      <c r="C9" s="5" t="inlineStr">
        <is>
          <t>3-string, isolator, Type II SPD</t>
        </is>
      </c>
      <c r="D9" s="5" t="inlineStr">
        <is>
          <t>set</t>
        </is>
      </c>
      <c r="E9" s="5" t="n">
        <v>1</v>
      </c>
      <c r="F9" s="13" t="n"/>
      <c r="G9" s="14">
        <f>E9*F9</f>
        <v/>
      </c>
    </row>
    <row r="10">
      <c r="A10" s="5" t="n">
        <v>6</v>
      </c>
      <c r="B10" s="5" t="inlineStr">
        <is>
          <t>DC solar cable</t>
        </is>
      </c>
      <c r="C10" s="5" t="inlineStr">
        <is>
          <t>4 mm2 PV1-F (3 strings x 2 x 50 m)</t>
        </is>
      </c>
      <c r="D10" s="5" t="inlineStr">
        <is>
          <t>m</t>
        </is>
      </c>
      <c r="E10" s="5" t="n">
        <v>300</v>
      </c>
      <c r="F10" s="13" t="n"/>
      <c r="G10" s="14">
        <f>E10*F10</f>
        <v/>
      </c>
    </row>
    <row r="11">
      <c r="A11" s="5" t="n">
        <v>7</v>
      </c>
      <c r="B11" s="5" t="inlineStr">
        <is>
          <t>AC cables</t>
        </is>
      </c>
      <c r="C11" s="5" t="inlineStr">
        <is>
          <t>4C x 16, 4C x 25, 4C x 35 mm2 Cu XLPE</t>
        </is>
      </c>
      <c r="D11" s="5" t="inlineStr">
        <is>
          <t>lot</t>
        </is>
      </c>
      <c r="E11" s="5" t="n">
        <v>1</v>
      </c>
      <c r="F11" s="13" t="n"/>
      <c r="G11" s="14">
        <f>E11*F11</f>
        <v/>
      </c>
    </row>
    <row r="12">
      <c r="A12" s="5" t="n">
        <v>8</v>
      </c>
      <c r="B12" s="5" t="inlineStr">
        <is>
          <t>AC DB</t>
        </is>
      </c>
      <c r="C12" s="5" t="inlineStr">
        <is>
          <t>MCCB 50 A 4P, RCD, SPD, sub-meter</t>
        </is>
      </c>
      <c r="D12" s="5" t="inlineStr">
        <is>
          <t>set</t>
        </is>
      </c>
      <c r="E12" s="5" t="n">
        <v>1</v>
      </c>
      <c r="F12" s="13" t="n"/>
      <c r="G12" s="14">
        <f>E12*F12</f>
        <v/>
      </c>
    </row>
    <row r="13">
      <c r="A13" s="5" t="n">
        <v>9</v>
      </c>
      <c r="B13" s="5" t="inlineStr">
        <is>
          <t>EV charger</t>
        </is>
      </c>
      <c r="C13" s="5" t="inlineStr">
        <is>
          <t>22 kW AC, Type 2, OCPP, RFID</t>
        </is>
      </c>
      <c r="D13" s="5" t="inlineStr">
        <is>
          <t>nos</t>
        </is>
      </c>
      <c r="E13" s="5" t="n">
        <v>2</v>
      </c>
      <c r="F13" s="13" t="n"/>
      <c r="G13" s="14">
        <f>E13*F13</f>
        <v/>
      </c>
    </row>
    <row r="14">
      <c r="A14" s="5" t="n">
        <v>10</v>
      </c>
      <c r="B14" s="5" t="inlineStr">
        <is>
          <t>EV charging panel</t>
        </is>
      </c>
      <c r="C14" s="5" t="inlineStr">
        <is>
          <t>2 x MCB 40 A 4P + RCD Type A/B</t>
        </is>
      </c>
      <c r="D14" s="5" t="inlineStr">
        <is>
          <t>set</t>
        </is>
      </c>
      <c r="E14" s="5" t="n">
        <v>1</v>
      </c>
      <c r="F14" s="13" t="n"/>
      <c r="G14" s="14">
        <f>E14*F14</f>
        <v/>
      </c>
    </row>
    <row r="15">
      <c r="A15" s="5" t="n">
        <v>11</v>
      </c>
      <c r="B15" s="5" t="inlineStr">
        <is>
          <t>Earthing + lightning protection</t>
        </is>
      </c>
      <c r="C15" s="5" t="inlineStr">
        <is>
          <t>Earth pits, bonding of canopy, air terminals</t>
        </is>
      </c>
      <c r="D15" s="5" t="inlineStr">
        <is>
          <t>set</t>
        </is>
      </c>
      <c r="E15" s="5" t="n">
        <v>1</v>
      </c>
      <c r="F15" s="13" t="n"/>
      <c r="G15" s="14">
        <f>E15*F15</f>
        <v/>
      </c>
    </row>
    <row r="16">
      <c r="A16" s="5" t="n">
        <v>12</v>
      </c>
      <c r="B16" s="5" t="inlineStr">
        <is>
          <t>Under-canopy LED lights</t>
        </is>
      </c>
      <c r="C16" s="5" t="inlineStr">
        <is>
          <t>IP65, 40 W</t>
        </is>
      </c>
      <c r="D16" s="5" t="inlineStr">
        <is>
          <t>nos</t>
        </is>
      </c>
      <c r="E16" s="5" t="n">
        <v>12</v>
      </c>
      <c r="F16" s="13" t="n"/>
      <c r="G16" s="14">
        <f>E16*F16</f>
        <v/>
      </c>
    </row>
    <row r="17">
      <c r="A17" s="5" t="n">
        <v>13</v>
      </c>
      <c r="B17" s="5" t="inlineStr">
        <is>
          <t>Installation, testing &amp; commissioning</t>
        </is>
      </c>
      <c r="C17" s="5" t="inlineStr">
        <is>
          <t>Labour, testing per IEC 62446</t>
        </is>
      </c>
      <c r="D17" s="5" t="inlineStr">
        <is>
          <t>lot</t>
        </is>
      </c>
      <c r="E17" s="5" t="n">
        <v>1</v>
      </c>
      <c r="F17" s="13" t="n"/>
      <c r="G17" s="14">
        <f>E17*F17</f>
        <v/>
      </c>
    </row>
    <row r="18">
      <c r="A18" s="2" t="n"/>
      <c r="B18" s="2" t="n"/>
      <c r="C18" s="2" t="n"/>
      <c r="D18" s="2" t="n"/>
      <c r="E18" s="2" t="n"/>
      <c r="F18" s="10" t="inlineStr">
        <is>
          <t>Total</t>
        </is>
      </c>
      <c r="G18" s="9">
        <f>SUM(G5:G17)</f>
        <v/>
      </c>
    </row>
    <row r="19">
      <c r="A19" s="2" t="n"/>
      <c r="B19" s="2" t="n"/>
      <c r="C19" s="2" t="n"/>
      <c r="D19" s="2" t="n"/>
      <c r="E19" s="2" t="n"/>
      <c r="F19" s="2" t="inlineStr">
        <is>
          <t>Cost per Wp</t>
        </is>
      </c>
      <c r="G19" s="15">
        <f>IFERROR(G18/('String Sizing'!B4*1000),0)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PVsyst simulation parameters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Step</t>
        </is>
      </c>
      <c r="B3" s="3" t="inlineStr">
        <is>
          <t>Parameter</t>
        </is>
      </c>
      <c r="C3" s="3" t="inlineStr">
        <is>
          <t>Value</t>
        </is>
      </c>
    </row>
    <row r="4">
      <c r="A4" s="16" t="inlineStr">
        <is>
          <t>1. Project</t>
        </is>
      </c>
      <c r="B4" s="16" t="inlineStr">
        <is>
          <t>Project type</t>
        </is>
      </c>
      <c r="C4" s="16" t="inlineStr">
        <is>
          <t>Grid-connected</t>
        </is>
      </c>
    </row>
    <row r="5">
      <c r="A5" s="16" t="inlineStr">
        <is>
          <t>1. Project</t>
        </is>
      </c>
      <c r="B5" s="16" t="inlineStr">
        <is>
          <t>Site / weather</t>
        </is>
      </c>
      <c r="C5" s="16" t="inlineStr">
        <is>
          <t>AUST, Tejgaon, Dhaka: 23.76 N, 90.41 E, UTC+6; Meteonorm 9.0 monthly data, synthetic hourly year</t>
        </is>
      </c>
    </row>
    <row r="6">
      <c r="A6" s="16" t="inlineStr">
        <is>
          <t>2. Orientation</t>
        </is>
      </c>
      <c r="B6" s="16" t="inlineStr">
        <is>
          <t>Tilt / azimuth</t>
        </is>
      </c>
      <c r="C6" s="16" t="inlineStr">
        <is>
          <t>Fixed tilted plane, 10 deg, azimuth 0 deg</t>
        </is>
      </c>
    </row>
    <row r="7">
      <c r="A7" s="16" t="inlineStr">
        <is>
          <t>3. System</t>
        </is>
      </c>
      <c r="B7" s="16" t="inlineStr">
        <is>
          <t>PV + inverter</t>
        </is>
      </c>
      <c r="C7" s="16" t="inlineStr">
        <is>
          <t>18 modules in series x 3 strings; 25 kW three-phase inverter, Multi-MPPT</t>
        </is>
      </c>
    </row>
    <row r="8">
      <c r="A8" s="16" t="inlineStr">
        <is>
          <t>3. System</t>
        </is>
      </c>
      <c r="B8" s="16" t="inlineStr">
        <is>
          <t>User's needs</t>
        </is>
      </c>
      <c r="C8" s="16" t="inlineStr">
        <is>
          <t>EV charging profile: 4 sessions x 20 kWh on working days</t>
        </is>
      </c>
    </row>
    <row r="9">
      <c r="A9" s="16" t="inlineStr">
        <is>
          <t>4. Detailed losses</t>
        </is>
      </c>
      <c r="B9" s="16" t="inlineStr">
        <is>
          <t>Thermal / soiling</t>
        </is>
      </c>
      <c r="C9" s="16" t="inlineStr">
        <is>
          <t>Free mounted with air circulation (Uc 29 W/m2K); soiling 3%</t>
        </is>
      </c>
    </row>
    <row r="10">
      <c r="A10" s="16" t="inlineStr">
        <is>
          <t>5. Near shadings</t>
        </is>
      </c>
      <c r="B10" s="16" t="inlineStr">
        <is>
          <t>3D scene</t>
        </is>
      </c>
      <c r="C10" s="16" t="inlineStr">
        <is>
          <t>Two PV tables (27 x 1 portrait) at z = 2.7 m and 3.1 m, tilt 10 deg</t>
        </is>
      </c>
    </row>
    <row r="11">
      <c r="A11" s="16" t="inlineStr">
        <is>
          <t>6. Target</t>
        </is>
      </c>
      <c r="B11" s="16" t="inlineStr">
        <is>
          <t>Specific yield / PR</t>
        </is>
      </c>
      <c r="C11" s="16" t="inlineStr">
        <is>
          <t>1,250-1,350 kWh/kWp/yr (37-40 MWh/yr), PR ~0.80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2026-10-16T00:09:38Z</dcterms:created>
  <dcterms:modified xmlns:dcterms="http://purl.org/dc/terms/" xmlns:xsi="http://www.w3.org/2001/XMLSchema-instance" xsi:type="dcterms:W3CDTF">2026-10-16T00:09:38Z</dcterms:modified>
</cp:coreProperties>
</file>